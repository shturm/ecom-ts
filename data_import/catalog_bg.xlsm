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726" codeName="{AE6600E7-7A62-396C-DE95-9942FA9DD81E}"/>
  <workbookPr codeName="ThisWorkbook"/>
  <mc:AlternateContent xmlns:mc="http://schemas.openxmlformats.org/markup-compatibility/2006">
    <mc:Choice Requires="x15">
      <x15ac:absPath xmlns:x15ac="http://schemas.microsoft.com/office/spreadsheetml/2010/11/ac" url="E:\SRC\simpl2\src\SimplCommerce.WebHost\data_import\"/>
    </mc:Choice>
  </mc:AlternateContent>
  <xr:revisionPtr revIDLastSave="0" documentId="13_ncr:1_{23E7E965-8972-45E9-B18E-6EEC7E0524F4}" xr6:coauthVersionLast="47" xr6:coauthVersionMax="47" xr10:uidLastSave="{00000000-0000-0000-0000-000000000000}"/>
  <bookViews>
    <workbookView xWindow="21600" yWindow="0" windowWidth="7200" windowHeight="2595" tabRatio="595" xr2:uid="{00000000-000D-0000-FFFF-FFFF00000000}"/>
  </bookViews>
  <sheets>
    <sheet name="Arkusz 1" sheetId="1" r:id="rId1"/>
  </sheets>
  <functionGroups builtInGroupCount="19"/>
  <definedNames>
    <definedName name="_xlnm._FilterDatabase" localSheetId="0" hidden="1">'Arkusz 1'!$A$1:$W$530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Z25" i="1" l="1"/>
  <c r="Z24" i="1"/>
  <c r="Z23" i="1"/>
  <c r="Z22" i="1"/>
  <c r="Z21" i="1"/>
  <c r="Z20" i="1"/>
  <c r="Z19" i="1"/>
  <c r="Z18" i="1"/>
  <c r="Z17" i="1"/>
  <c r="Z16" i="1"/>
  <c r="Z15" i="1"/>
  <c r="Z14" i="1"/>
  <c r="Z13" i="1"/>
  <c r="Z12" i="1"/>
  <c r="Z11" i="1"/>
  <c r="Z10" i="1"/>
  <c r="Z9" i="1"/>
  <c r="Z8" i="1"/>
  <c r="Z7" i="1"/>
  <c r="Z6" i="1"/>
  <c r="Z5" i="1"/>
  <c r="Z4" i="1"/>
  <c r="Z3" i="1"/>
  <c r="Z2" i="1"/>
  <c r="Z530" i="1"/>
  <c r="Z529" i="1"/>
  <c r="Z528" i="1"/>
  <c r="Z527" i="1"/>
  <c r="Z526" i="1"/>
  <c r="Z525" i="1"/>
  <c r="Z524" i="1"/>
  <c r="Z523" i="1"/>
  <c r="Z522" i="1"/>
  <c r="Z521" i="1"/>
  <c r="Z520" i="1"/>
  <c r="Z519" i="1"/>
  <c r="Z518" i="1"/>
  <c r="Z517" i="1"/>
  <c r="Z516" i="1"/>
  <c r="Z515" i="1"/>
  <c r="Z514" i="1"/>
  <c r="Z513" i="1"/>
  <c r="Z512" i="1"/>
  <c r="Z511" i="1"/>
  <c r="Z510" i="1"/>
  <c r="Z509" i="1"/>
  <c r="Z508" i="1"/>
  <c r="Z507" i="1"/>
  <c r="Z506" i="1"/>
  <c r="Z505" i="1"/>
  <c r="Z504" i="1"/>
  <c r="Z503" i="1"/>
  <c r="Z502" i="1"/>
  <c r="Z501" i="1"/>
  <c r="Z500" i="1"/>
  <c r="Z499" i="1"/>
  <c r="Z498" i="1"/>
  <c r="Z497" i="1"/>
  <c r="Z496" i="1"/>
  <c r="Z495" i="1"/>
  <c r="Z494" i="1"/>
  <c r="Z493" i="1"/>
  <c r="Z492" i="1"/>
  <c r="Z491" i="1"/>
  <c r="Z490" i="1"/>
  <c r="Z489" i="1"/>
  <c r="Z488" i="1"/>
  <c r="Z487" i="1"/>
  <c r="Z486" i="1"/>
  <c r="Z485" i="1"/>
  <c r="Z484" i="1"/>
  <c r="Z483" i="1"/>
  <c r="Z482" i="1"/>
  <c r="Z481" i="1"/>
  <c r="Z480" i="1"/>
  <c r="Z479" i="1"/>
  <c r="Z478" i="1"/>
  <c r="Z477" i="1"/>
  <c r="Z476" i="1"/>
  <c r="Z475" i="1"/>
  <c r="Z474" i="1"/>
  <c r="Z473" i="1"/>
  <c r="Z472" i="1"/>
  <c r="Z471" i="1"/>
  <c r="Z470" i="1"/>
  <c r="Z469" i="1"/>
  <c r="Z468" i="1"/>
  <c r="Z467" i="1"/>
  <c r="Z466" i="1"/>
  <c r="Z465" i="1"/>
  <c r="Z464" i="1"/>
  <c r="Z463" i="1"/>
  <c r="Z462" i="1"/>
  <c r="Z461" i="1"/>
  <c r="Z460" i="1"/>
  <c r="Z459" i="1"/>
  <c r="Z458" i="1"/>
  <c r="Z457" i="1"/>
  <c r="Z456" i="1"/>
  <c r="Z455" i="1"/>
  <c r="Z454" i="1"/>
  <c r="Z453" i="1"/>
  <c r="Z452" i="1"/>
  <c r="Z451" i="1"/>
  <c r="Z450" i="1"/>
  <c r="Z449" i="1"/>
  <c r="Z448" i="1"/>
  <c r="Z447" i="1"/>
  <c r="Z446" i="1"/>
  <c r="Z445" i="1"/>
  <c r="Z444" i="1"/>
  <c r="Z443" i="1"/>
  <c r="Z442" i="1"/>
  <c r="Z441" i="1"/>
  <c r="Z440" i="1"/>
  <c r="Z439" i="1"/>
  <c r="Z438" i="1"/>
  <c r="Z437" i="1"/>
  <c r="Z436" i="1"/>
  <c r="Z435" i="1"/>
  <c r="Z434" i="1"/>
  <c r="Z433" i="1"/>
  <c r="Z432" i="1"/>
  <c r="Z431" i="1"/>
  <c r="Z430" i="1"/>
  <c r="Z429" i="1"/>
  <c r="Z428" i="1"/>
  <c r="Z427" i="1"/>
  <c r="Z426" i="1"/>
  <c r="Z425" i="1"/>
  <c r="Z424" i="1"/>
  <c r="Z423" i="1"/>
  <c r="Z422" i="1"/>
  <c r="Z421" i="1"/>
  <c r="Z420" i="1"/>
  <c r="Z419" i="1"/>
  <c r="Z418" i="1"/>
  <c r="Z417" i="1"/>
  <c r="Z416" i="1"/>
  <c r="Z415" i="1"/>
  <c r="Z414" i="1"/>
  <c r="Z413" i="1"/>
  <c r="Z412" i="1"/>
  <c r="Z411" i="1"/>
  <c r="Z410" i="1"/>
  <c r="Z409" i="1"/>
  <c r="Z408" i="1"/>
  <c r="Z407" i="1"/>
  <c r="Z406" i="1"/>
  <c r="Z405" i="1"/>
  <c r="Z404" i="1"/>
  <c r="Z403" i="1"/>
  <c r="Z402" i="1"/>
  <c r="Z401" i="1"/>
  <c r="Z400" i="1"/>
  <c r="Z399" i="1"/>
  <c r="Z398" i="1"/>
  <c r="Z397" i="1"/>
  <c r="Z396" i="1"/>
  <c r="Z395" i="1"/>
  <c r="Z394" i="1"/>
  <c r="Z393" i="1"/>
  <c r="Z392" i="1"/>
  <c r="Z391" i="1"/>
  <c r="Z390" i="1"/>
  <c r="Z389" i="1"/>
  <c r="Z388" i="1"/>
  <c r="Z387" i="1"/>
  <c r="Z386" i="1"/>
  <c r="Z385" i="1"/>
  <c r="Z384" i="1"/>
  <c r="Z383" i="1"/>
  <c r="Z382" i="1"/>
  <c r="Z381" i="1"/>
  <c r="Z380" i="1"/>
  <c r="Z379" i="1"/>
  <c r="Z378" i="1"/>
  <c r="Z377" i="1"/>
  <c r="Z376" i="1"/>
  <c r="Z375" i="1"/>
  <c r="Z374" i="1"/>
  <c r="Z373" i="1"/>
  <c r="Z372" i="1"/>
  <c r="Z371" i="1"/>
  <c r="Z370" i="1"/>
  <c r="Z369" i="1"/>
  <c r="Z368" i="1"/>
  <c r="Z367" i="1"/>
  <c r="Z366" i="1"/>
  <c r="Z365" i="1"/>
  <c r="Z364" i="1"/>
  <c r="Z363" i="1"/>
  <c r="Z362" i="1"/>
  <c r="Z361" i="1"/>
  <c r="Z360" i="1"/>
  <c r="Z359" i="1"/>
  <c r="Z358" i="1"/>
  <c r="Z357" i="1"/>
  <c r="Z356" i="1"/>
  <c r="Z355" i="1"/>
  <c r="Z354" i="1"/>
  <c r="Z353" i="1"/>
  <c r="Z352" i="1"/>
  <c r="Z351" i="1"/>
  <c r="Z350" i="1"/>
  <c r="Z349" i="1"/>
  <c r="Z348" i="1"/>
  <c r="Z347" i="1"/>
  <c r="Z346" i="1"/>
  <c r="Z345" i="1"/>
  <c r="Z344" i="1"/>
  <c r="Z343" i="1"/>
  <c r="Z342" i="1"/>
  <c r="Z341" i="1"/>
  <c r="Z340" i="1"/>
  <c r="Z339" i="1"/>
  <c r="Z338" i="1"/>
  <c r="Z337" i="1"/>
  <c r="Z336" i="1"/>
  <c r="Z335" i="1"/>
  <c r="Z334" i="1"/>
  <c r="Z333" i="1"/>
  <c r="Z332" i="1"/>
  <c r="Z331" i="1"/>
  <c r="Z330" i="1"/>
  <c r="Z329" i="1"/>
  <c r="Z328" i="1"/>
  <c r="Z327" i="1"/>
  <c r="Z326" i="1"/>
  <c r="Z325" i="1"/>
  <c r="Z324" i="1"/>
  <c r="Z323" i="1"/>
  <c r="Z322" i="1"/>
  <c r="Z321" i="1"/>
  <c r="Z320" i="1"/>
  <c r="Z319" i="1"/>
  <c r="Z318" i="1"/>
  <c r="Z317" i="1"/>
  <c r="Z316" i="1"/>
  <c r="Z315" i="1"/>
  <c r="Z314" i="1"/>
  <c r="Z313" i="1"/>
  <c r="Z312" i="1"/>
  <c r="Z311" i="1"/>
  <c r="Z310" i="1"/>
  <c r="Z309" i="1"/>
  <c r="Z308" i="1"/>
  <c r="Z307" i="1"/>
  <c r="Z306" i="1"/>
  <c r="Z305" i="1"/>
  <c r="Z304" i="1"/>
  <c r="Z303" i="1"/>
  <c r="Z302" i="1"/>
  <c r="Z301" i="1"/>
  <c r="Z300" i="1"/>
  <c r="Z299" i="1"/>
  <c r="Z298" i="1"/>
  <c r="Z297" i="1"/>
  <c r="Z296" i="1"/>
  <c r="Z295" i="1"/>
  <c r="Z294" i="1"/>
  <c r="Z293" i="1"/>
  <c r="Z292" i="1"/>
  <c r="Z291" i="1"/>
  <c r="Z290" i="1"/>
  <c r="Z289" i="1"/>
  <c r="Z288" i="1"/>
  <c r="Z287" i="1"/>
  <c r="Z286" i="1"/>
  <c r="Z285" i="1"/>
  <c r="Z284" i="1"/>
  <c r="Z283" i="1"/>
  <c r="Z282" i="1"/>
  <c r="Z281" i="1"/>
  <c r="Z280" i="1"/>
  <c r="Z279" i="1"/>
  <c r="Z278" i="1"/>
  <c r="Z277" i="1"/>
  <c r="Z276" i="1"/>
  <c r="Z275" i="1"/>
  <c r="Z274" i="1"/>
  <c r="Z273" i="1"/>
  <c r="Z272" i="1"/>
  <c r="Z271" i="1"/>
  <c r="Z270" i="1"/>
  <c r="Z269" i="1"/>
  <c r="Z268" i="1"/>
  <c r="Z267" i="1"/>
  <c r="Z266" i="1"/>
  <c r="Z265" i="1"/>
  <c r="Z264" i="1"/>
  <c r="Z263" i="1"/>
  <c r="Z262" i="1"/>
  <c r="Z261" i="1"/>
  <c r="Z260" i="1"/>
  <c r="Z259" i="1"/>
  <c r="Z258" i="1"/>
  <c r="Z257" i="1"/>
  <c r="Z256" i="1"/>
  <c r="Z255" i="1"/>
  <c r="Z254" i="1"/>
  <c r="Z253" i="1"/>
  <c r="Z252" i="1"/>
  <c r="Z251" i="1"/>
  <c r="Z250" i="1"/>
  <c r="Z249" i="1"/>
  <c r="Z248" i="1"/>
  <c r="Z247" i="1"/>
  <c r="Z246" i="1"/>
  <c r="Z245" i="1"/>
  <c r="Z244" i="1"/>
  <c r="Z243" i="1"/>
  <c r="Z242" i="1"/>
  <c r="Z241" i="1"/>
  <c r="Z240" i="1"/>
  <c r="Z239" i="1"/>
  <c r="Z238" i="1"/>
  <c r="Z237" i="1"/>
  <c r="Z236" i="1"/>
  <c r="Z235" i="1"/>
  <c r="Z234" i="1"/>
  <c r="Z233" i="1"/>
  <c r="Z232" i="1"/>
  <c r="Z231" i="1"/>
  <c r="Z230" i="1"/>
  <c r="Z229" i="1"/>
  <c r="Z228" i="1"/>
  <c r="Z227" i="1"/>
  <c r="Z226" i="1"/>
  <c r="Z225" i="1"/>
  <c r="Z224" i="1"/>
  <c r="Z223" i="1"/>
  <c r="Z222" i="1"/>
  <c r="Z221" i="1"/>
  <c r="Z220" i="1"/>
  <c r="Z219" i="1"/>
  <c r="Z218" i="1"/>
  <c r="Z217" i="1"/>
  <c r="Z216" i="1"/>
  <c r="Z215" i="1"/>
  <c r="Z214" i="1"/>
  <c r="Z213" i="1"/>
  <c r="Z212" i="1"/>
  <c r="Z211" i="1"/>
  <c r="Z210" i="1"/>
  <c r="Z209" i="1"/>
  <c r="Z208" i="1"/>
  <c r="Z207" i="1"/>
  <c r="Z206" i="1"/>
  <c r="Z205" i="1"/>
  <c r="Z204" i="1"/>
  <c r="Z203" i="1"/>
  <c r="Z202" i="1"/>
  <c r="Z201" i="1"/>
  <c r="Z200" i="1"/>
  <c r="Z199" i="1"/>
  <c r="Z198" i="1"/>
  <c r="Z197" i="1"/>
  <c r="Z196" i="1"/>
  <c r="Z195" i="1"/>
  <c r="Z194" i="1"/>
  <c r="Z193" i="1"/>
  <c r="Z192" i="1"/>
  <c r="Z191" i="1"/>
  <c r="Z190" i="1"/>
  <c r="Z189" i="1"/>
  <c r="Z188" i="1"/>
  <c r="Z187" i="1"/>
  <c r="Z186" i="1"/>
  <c r="Z185" i="1"/>
  <c r="Z184" i="1"/>
  <c r="Z183" i="1"/>
  <c r="Z182" i="1"/>
  <c r="Z181" i="1"/>
  <c r="Z180" i="1"/>
  <c r="Z179" i="1"/>
  <c r="Z178" i="1"/>
  <c r="Z177" i="1"/>
  <c r="Z176" i="1"/>
  <c r="Z175" i="1"/>
  <c r="Z174" i="1"/>
  <c r="Z173" i="1"/>
  <c r="Z172" i="1"/>
  <c r="Z171" i="1"/>
  <c r="Z170" i="1"/>
  <c r="Z169" i="1"/>
  <c r="Z168" i="1"/>
  <c r="Z167" i="1"/>
  <c r="Z166" i="1"/>
  <c r="Z165" i="1"/>
  <c r="Z164" i="1"/>
  <c r="Z163" i="1"/>
  <c r="Z162" i="1"/>
  <c r="Z161" i="1"/>
  <c r="Z160" i="1"/>
  <c r="Z159" i="1"/>
  <c r="Z158" i="1"/>
  <c r="Z157" i="1"/>
  <c r="Z156" i="1"/>
  <c r="Z155" i="1"/>
  <c r="Z154" i="1"/>
  <c r="Z153" i="1"/>
  <c r="Z152" i="1"/>
  <c r="Z151" i="1"/>
  <c r="Z150" i="1"/>
  <c r="Z149" i="1"/>
  <c r="Z148" i="1"/>
  <c r="Z147" i="1"/>
  <c r="Z146" i="1"/>
  <c r="Z145" i="1"/>
  <c r="Z144" i="1"/>
  <c r="Z143" i="1"/>
  <c r="Z142" i="1"/>
  <c r="Z141" i="1"/>
  <c r="Z140" i="1"/>
  <c r="Z139" i="1"/>
  <c r="Z138" i="1"/>
  <c r="Z137" i="1"/>
  <c r="Z136" i="1"/>
  <c r="Z135" i="1"/>
  <c r="Z134" i="1"/>
  <c r="Z133" i="1"/>
  <c r="Z132" i="1"/>
  <c r="Z131" i="1"/>
  <c r="Z130" i="1"/>
  <c r="Z129" i="1"/>
  <c r="Z128" i="1"/>
  <c r="Z127" i="1"/>
  <c r="Z126" i="1"/>
  <c r="Z125" i="1"/>
  <c r="Z124" i="1"/>
  <c r="Z123" i="1"/>
  <c r="Z122" i="1"/>
  <c r="Z121" i="1"/>
  <c r="Z120" i="1"/>
  <c r="Z119" i="1"/>
  <c r="Z118" i="1"/>
  <c r="Z117" i="1"/>
  <c r="Z116" i="1"/>
  <c r="Z115" i="1"/>
  <c r="Z114" i="1"/>
  <c r="Z113" i="1"/>
  <c r="Z112" i="1"/>
  <c r="Z111" i="1"/>
  <c r="Z110" i="1"/>
  <c r="Z109" i="1"/>
  <c r="Z108" i="1"/>
  <c r="Z107" i="1"/>
  <c r="Z106" i="1"/>
  <c r="Z105" i="1"/>
  <c r="Z104" i="1"/>
  <c r="Z103" i="1"/>
  <c r="Z102" i="1"/>
  <c r="Z101" i="1"/>
  <c r="Z100" i="1"/>
  <c r="Z99" i="1"/>
  <c r="Z98" i="1"/>
  <c r="Z97" i="1"/>
  <c r="Z96" i="1"/>
  <c r="Z95" i="1"/>
  <c r="Z94" i="1"/>
  <c r="Z93" i="1"/>
  <c r="Z92" i="1"/>
  <c r="Z91" i="1"/>
  <c r="Z90" i="1"/>
  <c r="Z89" i="1"/>
  <c r="Z88" i="1"/>
  <c r="Z87" i="1"/>
  <c r="Z86" i="1"/>
  <c r="Z85" i="1"/>
  <c r="Z84" i="1"/>
  <c r="Z83" i="1"/>
  <c r="Z82" i="1"/>
  <c r="Z81" i="1"/>
  <c r="Z80" i="1"/>
  <c r="Z79" i="1"/>
  <c r="Z78" i="1"/>
  <c r="Z77" i="1"/>
  <c r="Z76" i="1"/>
  <c r="Z75" i="1"/>
  <c r="Z74" i="1"/>
  <c r="Z73" i="1"/>
  <c r="Z72" i="1"/>
  <c r="Z71" i="1"/>
  <c r="Z70" i="1"/>
  <c r="Z69" i="1"/>
  <c r="Z68" i="1"/>
  <c r="Z67" i="1"/>
  <c r="Z66" i="1"/>
  <c r="Z65" i="1"/>
  <c r="Z64" i="1"/>
  <c r="Z63" i="1"/>
  <c r="Z62" i="1"/>
  <c r="Z61" i="1"/>
  <c r="Z60" i="1"/>
  <c r="Z59" i="1"/>
  <c r="Z58" i="1"/>
  <c r="Z57" i="1"/>
  <c r="Z56" i="1"/>
  <c r="Z55" i="1"/>
  <c r="Z54" i="1"/>
  <c r="Z53" i="1"/>
  <c r="Z52" i="1"/>
  <c r="Z51" i="1"/>
  <c r="Z50" i="1"/>
  <c r="Z49" i="1"/>
  <c r="Z48" i="1"/>
  <c r="Z47" i="1"/>
  <c r="Z46" i="1"/>
  <c r="Z45" i="1"/>
  <c r="Z44" i="1"/>
  <c r="Z43" i="1"/>
  <c r="Z42" i="1"/>
  <c r="Z41" i="1"/>
  <c r="Z40" i="1"/>
  <c r="Z39" i="1"/>
  <c r="Z38" i="1"/>
  <c r="Z37" i="1"/>
  <c r="Z36" i="1"/>
  <c r="Z35" i="1"/>
  <c r="Z34" i="1"/>
  <c r="Z33" i="1"/>
  <c r="Z32" i="1"/>
  <c r="Z31" i="1"/>
  <c r="Z30" i="1"/>
  <c r="Z29" i="1"/>
  <c r="Z28" i="1"/>
  <c r="Z27" i="1"/>
  <c r="Z26" i="1"/>
  <c r="Y26" i="1"/>
  <c r="Y530" i="1"/>
  <c r="Y529" i="1"/>
  <c r="Y528" i="1"/>
  <c r="Y527" i="1"/>
  <c r="Y526" i="1"/>
  <c r="Y525" i="1"/>
  <c r="Y524" i="1"/>
  <c r="Y523" i="1"/>
  <c r="Y522" i="1"/>
  <c r="Y521" i="1"/>
  <c r="Y520" i="1"/>
  <c r="Y519" i="1"/>
  <c r="Y518" i="1"/>
  <c r="Y517" i="1"/>
  <c r="Y516" i="1"/>
  <c r="Y515" i="1"/>
  <c r="Y514" i="1"/>
  <c r="Y513" i="1"/>
  <c r="Y512" i="1"/>
  <c r="Y511" i="1"/>
  <c r="Y510" i="1"/>
  <c r="Y509" i="1"/>
  <c r="Y508" i="1"/>
  <c r="Y507" i="1"/>
  <c r="Y506" i="1"/>
  <c r="Y505" i="1"/>
  <c r="Y504" i="1"/>
  <c r="Y503" i="1"/>
  <c r="Y502" i="1"/>
  <c r="Y501" i="1"/>
  <c r="Y500" i="1"/>
  <c r="Y499" i="1"/>
  <c r="Y498" i="1"/>
  <c r="Y497" i="1"/>
  <c r="Y496" i="1"/>
  <c r="Y495" i="1"/>
  <c r="Y494" i="1"/>
  <c r="Y493" i="1"/>
  <c r="Y492" i="1"/>
  <c r="Y491" i="1"/>
  <c r="Y490" i="1"/>
  <c r="Y489" i="1"/>
  <c r="Y488" i="1"/>
  <c r="Y487" i="1"/>
  <c r="Y486" i="1"/>
  <c r="Y485" i="1"/>
  <c r="Y484" i="1"/>
  <c r="Y483" i="1"/>
  <c r="Y482" i="1"/>
  <c r="Y481" i="1"/>
  <c r="Y480" i="1"/>
  <c r="Y479" i="1"/>
  <c r="Y478" i="1"/>
  <c r="Y477" i="1"/>
  <c r="Y476" i="1"/>
  <c r="Y475" i="1"/>
  <c r="Y474" i="1"/>
  <c r="Y473" i="1"/>
  <c r="Y472" i="1"/>
  <c r="Y471" i="1"/>
  <c r="Y470" i="1"/>
  <c r="Y469" i="1"/>
  <c r="Y468" i="1"/>
  <c r="Y467" i="1"/>
  <c r="Y466" i="1"/>
  <c r="Y465" i="1"/>
  <c r="Y464" i="1"/>
  <c r="Y463" i="1"/>
  <c r="Y462" i="1"/>
  <c r="Y461" i="1"/>
  <c r="Y460" i="1"/>
  <c r="Y459" i="1"/>
  <c r="Y458" i="1"/>
  <c r="Y457" i="1"/>
  <c r="Y456" i="1"/>
  <c r="Y455" i="1"/>
  <c r="Y454" i="1"/>
  <c r="Y453" i="1"/>
  <c r="Y452" i="1"/>
  <c r="Y451" i="1"/>
  <c r="Y450" i="1"/>
  <c r="Y449" i="1"/>
  <c r="Y448" i="1"/>
  <c r="Y447" i="1"/>
  <c r="Y446" i="1"/>
  <c r="Y445" i="1"/>
  <c r="Y444" i="1"/>
  <c r="Y443" i="1"/>
  <c r="Y442" i="1"/>
  <c r="Y441" i="1"/>
  <c r="Y440" i="1"/>
  <c r="Y439" i="1"/>
  <c r="Y438" i="1"/>
  <c r="Y437" i="1"/>
  <c r="Y436" i="1"/>
  <c r="Y435" i="1"/>
  <c r="Y434" i="1"/>
  <c r="Y433" i="1"/>
  <c r="Y432" i="1"/>
  <c r="Y431" i="1"/>
  <c r="Y430" i="1"/>
  <c r="Y429" i="1"/>
  <c r="Y428" i="1"/>
  <c r="Y427" i="1"/>
  <c r="Y426" i="1"/>
  <c r="Y425" i="1"/>
  <c r="Y424" i="1"/>
  <c r="Y423" i="1"/>
  <c r="Y422" i="1"/>
  <c r="Y421" i="1"/>
  <c r="Y420" i="1"/>
  <c r="Y419" i="1"/>
  <c r="Y418" i="1"/>
  <c r="Y417" i="1"/>
  <c r="Y416" i="1"/>
  <c r="Y415" i="1"/>
  <c r="Y414" i="1"/>
  <c r="Y413" i="1"/>
  <c r="Y412" i="1"/>
  <c r="Y411" i="1"/>
  <c r="Y410" i="1"/>
  <c r="Y409" i="1"/>
  <c r="Y408" i="1"/>
  <c r="Y407" i="1"/>
  <c r="Y406" i="1"/>
  <c r="Y405" i="1"/>
  <c r="Y404" i="1"/>
  <c r="Y403" i="1"/>
  <c r="Y402" i="1"/>
  <c r="Y401" i="1"/>
  <c r="Y400" i="1"/>
  <c r="Y399" i="1"/>
  <c r="Y398" i="1"/>
  <c r="Y397" i="1"/>
  <c r="Y396" i="1"/>
  <c r="Y395" i="1"/>
  <c r="Y394" i="1"/>
  <c r="Y393" i="1"/>
  <c r="Y392" i="1"/>
  <c r="Y391" i="1"/>
  <c r="Y390" i="1"/>
  <c r="Y389" i="1"/>
  <c r="Y388" i="1"/>
  <c r="Y387" i="1"/>
  <c r="Y386" i="1"/>
  <c r="Y385" i="1"/>
  <c r="Y384" i="1"/>
  <c r="Y383" i="1"/>
  <c r="Y382" i="1"/>
  <c r="Y381" i="1"/>
  <c r="Y380" i="1"/>
  <c r="Y379" i="1"/>
  <c r="Y378" i="1"/>
  <c r="Y377" i="1"/>
  <c r="Y376" i="1"/>
  <c r="Y375" i="1"/>
  <c r="Y374" i="1"/>
  <c r="Y373" i="1"/>
  <c r="Y372" i="1"/>
  <c r="Y371" i="1"/>
  <c r="Y370" i="1"/>
  <c r="Y369" i="1"/>
  <c r="Y368" i="1"/>
  <c r="Y367" i="1"/>
  <c r="Y366" i="1"/>
  <c r="Y365" i="1"/>
  <c r="Y364" i="1"/>
  <c r="Y363" i="1"/>
  <c r="Y362" i="1"/>
  <c r="Y361" i="1"/>
  <c r="Y360" i="1"/>
  <c r="Y359" i="1"/>
  <c r="Y358" i="1"/>
  <c r="Y357" i="1"/>
  <c r="Y356" i="1"/>
  <c r="Y355" i="1"/>
  <c r="Y354" i="1"/>
  <c r="Y353" i="1"/>
  <c r="Y352" i="1"/>
  <c r="Y351" i="1"/>
  <c r="Y350" i="1"/>
  <c r="Y349" i="1"/>
  <c r="Y348" i="1"/>
  <c r="Y347" i="1"/>
  <c r="Y346" i="1"/>
  <c r="Y345" i="1"/>
  <c r="Y344" i="1"/>
  <c r="Y343" i="1"/>
  <c r="Y342" i="1"/>
  <c r="Y341" i="1"/>
  <c r="Y340" i="1"/>
  <c r="Y339" i="1"/>
  <c r="Y338" i="1"/>
  <c r="Y337" i="1"/>
  <c r="Y336" i="1"/>
  <c r="Y335" i="1"/>
  <c r="Y334" i="1"/>
  <c r="Y333" i="1"/>
  <c r="Y332" i="1"/>
  <c r="Y331" i="1"/>
  <c r="Y330" i="1"/>
  <c r="Y329" i="1"/>
  <c r="Y328" i="1"/>
  <c r="Y327" i="1"/>
  <c r="Y326" i="1"/>
  <c r="Y325" i="1"/>
  <c r="Y324" i="1"/>
  <c r="Y323" i="1"/>
  <c r="Y322" i="1"/>
  <c r="Y321" i="1"/>
  <c r="Y320" i="1"/>
  <c r="Y319" i="1"/>
  <c r="Y318" i="1"/>
  <c r="Y317" i="1"/>
  <c r="Y316" i="1"/>
  <c r="Y315" i="1"/>
  <c r="Y314" i="1"/>
  <c r="Y313" i="1"/>
  <c r="Y312" i="1"/>
  <c r="Y311" i="1"/>
  <c r="Y310" i="1"/>
  <c r="Y309" i="1"/>
  <c r="Y308" i="1"/>
  <c r="Y307" i="1"/>
  <c r="Y306" i="1"/>
  <c r="Y305" i="1"/>
  <c r="Y304" i="1"/>
  <c r="Y303" i="1"/>
  <c r="Y302" i="1"/>
  <c r="Y301" i="1"/>
  <c r="Y300" i="1"/>
  <c r="Y299" i="1"/>
  <c r="Y298" i="1"/>
  <c r="Y297" i="1"/>
  <c r="Y296" i="1"/>
  <c r="Y295" i="1"/>
  <c r="Y294" i="1"/>
  <c r="Y293" i="1"/>
  <c r="Y292" i="1"/>
  <c r="Y291" i="1"/>
  <c r="Y290" i="1"/>
  <c r="Y289" i="1"/>
  <c r="Y288" i="1"/>
  <c r="Y287" i="1"/>
  <c r="Y286" i="1"/>
  <c r="Y285" i="1"/>
  <c r="Y284" i="1"/>
  <c r="Y283" i="1"/>
  <c r="Y282" i="1"/>
  <c r="Y281" i="1"/>
  <c r="Y280" i="1"/>
  <c r="Y279" i="1"/>
  <c r="Y278" i="1"/>
  <c r="Y277" i="1"/>
  <c r="Y276" i="1"/>
  <c r="Y275" i="1"/>
  <c r="Y274" i="1"/>
  <c r="Y273" i="1"/>
  <c r="Y272" i="1"/>
  <c r="Y271" i="1"/>
  <c r="Y270" i="1"/>
  <c r="Y269" i="1"/>
  <c r="Y268" i="1"/>
  <c r="Y267" i="1"/>
  <c r="Y266" i="1"/>
  <c r="Y265" i="1"/>
  <c r="Y264" i="1"/>
  <c r="Y263" i="1"/>
  <c r="Y262" i="1"/>
  <c r="Y261" i="1"/>
  <c r="Y260" i="1"/>
  <c r="Y259" i="1"/>
  <c r="Y258" i="1"/>
  <c r="Y257" i="1"/>
  <c r="Y256" i="1"/>
  <c r="Y255" i="1"/>
  <c r="Y254" i="1"/>
  <c r="Y253" i="1"/>
  <c r="Y252" i="1"/>
  <c r="Y251" i="1"/>
  <c r="Y250" i="1"/>
  <c r="Y249" i="1"/>
  <c r="Y248" i="1"/>
  <c r="Y247" i="1"/>
  <c r="Y246" i="1"/>
  <c r="Y245" i="1"/>
  <c r="Y244" i="1"/>
  <c r="Y243" i="1"/>
  <c r="Y242" i="1"/>
  <c r="Y241" i="1"/>
  <c r="Y240" i="1"/>
  <c r="Y239" i="1"/>
  <c r="Y238" i="1"/>
  <c r="Y237" i="1"/>
  <c r="Y236" i="1"/>
  <c r="Y235" i="1"/>
  <c r="Y234" i="1"/>
  <c r="Y233" i="1"/>
  <c r="Y232" i="1"/>
  <c r="Y231" i="1"/>
  <c r="Y230" i="1"/>
  <c r="Y229" i="1"/>
  <c r="Y228" i="1"/>
  <c r="Y227" i="1"/>
  <c r="Y226" i="1"/>
  <c r="Y225" i="1"/>
  <c r="Y224" i="1"/>
  <c r="Y223" i="1"/>
  <c r="Y222" i="1"/>
  <c r="Y221" i="1"/>
  <c r="Y220" i="1"/>
  <c r="Y219" i="1"/>
  <c r="Y218" i="1"/>
  <c r="Y217" i="1"/>
  <c r="Y216" i="1"/>
  <c r="Y215" i="1"/>
  <c r="Y214" i="1"/>
  <c r="Y213" i="1"/>
  <c r="Y212" i="1"/>
  <c r="Y211" i="1"/>
  <c r="Y210" i="1"/>
  <c r="Y209" i="1"/>
  <c r="Y208" i="1"/>
  <c r="Y207" i="1"/>
  <c r="Y206" i="1"/>
  <c r="Y205" i="1"/>
  <c r="Y204" i="1"/>
  <c r="Y203" i="1"/>
  <c r="Y202" i="1"/>
  <c r="Y201" i="1"/>
  <c r="Y200" i="1"/>
  <c r="Y199" i="1"/>
  <c r="Y198" i="1"/>
  <c r="Y197" i="1"/>
  <c r="Y196" i="1"/>
  <c r="Y195" i="1"/>
  <c r="Y194" i="1"/>
  <c r="Y193" i="1"/>
  <c r="Y192" i="1"/>
  <c r="Y191" i="1"/>
  <c r="Y190" i="1"/>
  <c r="Y189" i="1"/>
  <c r="Y188" i="1"/>
  <c r="Y187" i="1"/>
  <c r="Y186" i="1"/>
  <c r="Y185" i="1"/>
  <c r="Y184" i="1"/>
  <c r="Y183" i="1"/>
  <c r="Y182" i="1"/>
  <c r="Y181" i="1"/>
  <c r="Y180" i="1"/>
  <c r="Y179" i="1"/>
  <c r="Y178" i="1"/>
  <c r="Y177" i="1"/>
  <c r="Y176" i="1"/>
  <c r="Y175" i="1"/>
  <c r="Y174" i="1"/>
  <c r="Y173" i="1"/>
  <c r="Y172" i="1"/>
  <c r="Y171" i="1"/>
  <c r="Y170" i="1"/>
  <c r="Y169" i="1"/>
  <c r="Y168" i="1"/>
  <c r="Y167" i="1"/>
  <c r="Y166" i="1"/>
  <c r="Y165" i="1"/>
  <c r="Y164" i="1"/>
  <c r="Y163" i="1"/>
  <c r="Y162" i="1"/>
  <c r="Y161" i="1"/>
  <c r="Y160" i="1"/>
  <c r="Y159" i="1"/>
  <c r="Y158" i="1"/>
  <c r="Y157" i="1"/>
  <c r="Y156" i="1"/>
  <c r="Y155" i="1"/>
  <c r="Y154" i="1"/>
  <c r="Y153" i="1"/>
  <c r="Y152" i="1"/>
  <c r="Y151" i="1"/>
  <c r="Y150" i="1"/>
  <c r="Y149" i="1"/>
  <c r="Y148" i="1"/>
  <c r="Y147" i="1"/>
  <c r="Y146" i="1"/>
  <c r="Y145" i="1"/>
  <c r="Y144" i="1"/>
  <c r="Y143" i="1"/>
  <c r="Y142" i="1"/>
  <c r="Y141" i="1"/>
  <c r="Y140" i="1"/>
  <c r="Y139" i="1"/>
  <c r="Y138" i="1"/>
  <c r="Y137" i="1"/>
  <c r="Y136" i="1"/>
  <c r="Y135" i="1"/>
  <c r="Y134" i="1"/>
  <c r="Y133" i="1"/>
  <c r="Y132" i="1"/>
  <c r="Y131" i="1"/>
  <c r="Y130" i="1"/>
  <c r="Y129" i="1"/>
  <c r="Y128" i="1"/>
  <c r="Y127" i="1"/>
  <c r="Y126" i="1"/>
  <c r="Y125" i="1"/>
  <c r="Y124" i="1"/>
  <c r="Y123" i="1"/>
  <c r="Y122" i="1"/>
  <c r="Y121" i="1"/>
  <c r="Y120" i="1"/>
  <c r="Y119" i="1"/>
  <c r="Y118" i="1"/>
  <c r="Y117" i="1"/>
  <c r="Y116" i="1"/>
  <c r="Y115" i="1"/>
  <c r="Y114" i="1"/>
  <c r="Y113" i="1"/>
  <c r="Y112" i="1"/>
  <c r="Y111" i="1"/>
  <c r="Y110" i="1"/>
  <c r="Y109" i="1"/>
  <c r="Y108" i="1"/>
  <c r="Y107" i="1"/>
  <c r="Y106" i="1"/>
  <c r="Y105" i="1"/>
  <c r="Y104" i="1"/>
  <c r="Y103" i="1"/>
  <c r="Y102" i="1"/>
  <c r="Y101" i="1"/>
  <c r="Y100" i="1"/>
  <c r="Y99" i="1"/>
  <c r="Y98" i="1"/>
  <c r="Y97" i="1"/>
  <c r="Y96" i="1"/>
  <c r="Y95" i="1"/>
  <c r="Y94" i="1"/>
  <c r="Y93" i="1"/>
  <c r="Y92" i="1"/>
  <c r="Y91" i="1"/>
  <c r="Y90" i="1"/>
  <c r="Y89" i="1"/>
  <c r="Y88" i="1"/>
  <c r="Y87" i="1"/>
  <c r="Y86" i="1"/>
  <c r="Y85" i="1"/>
  <c r="Y84" i="1"/>
  <c r="Y83" i="1"/>
  <c r="Y82" i="1"/>
  <c r="Y81" i="1"/>
  <c r="Y80" i="1"/>
  <c r="Y79" i="1"/>
  <c r="Y78" i="1"/>
  <c r="Y77" i="1"/>
  <c r="Y76" i="1"/>
  <c r="Y75" i="1"/>
  <c r="Y74" i="1"/>
  <c r="Y73" i="1"/>
  <c r="Y72" i="1"/>
  <c r="Y71" i="1"/>
  <c r="Y70" i="1"/>
  <c r="Y69" i="1"/>
  <c r="Y68" i="1"/>
  <c r="Y67" i="1"/>
  <c r="Y66" i="1"/>
  <c r="Y65" i="1"/>
  <c r="Y64" i="1"/>
  <c r="Y63" i="1"/>
  <c r="Y62" i="1"/>
  <c r="Y61" i="1"/>
  <c r="Y60" i="1"/>
  <c r="Y59" i="1"/>
  <c r="Y58" i="1"/>
  <c r="Y57" i="1"/>
  <c r="Y56" i="1"/>
  <c r="Y55" i="1"/>
  <c r="Y54" i="1"/>
  <c r="Y53" i="1"/>
  <c r="Y52" i="1"/>
  <c r="Y51" i="1"/>
  <c r="Y50" i="1"/>
  <c r="Y49" i="1"/>
  <c r="Y48" i="1"/>
  <c r="Y47" i="1"/>
  <c r="Y46" i="1"/>
  <c r="Y45" i="1"/>
  <c r="Y44" i="1"/>
  <c r="Y43" i="1"/>
  <c r="Y42" i="1"/>
  <c r="Y41" i="1"/>
  <c r="Y40" i="1"/>
  <c r="Y39" i="1"/>
  <c r="Y38" i="1"/>
  <c r="Y37" i="1"/>
  <c r="Y36" i="1"/>
  <c r="Y35" i="1"/>
  <c r="Y34" i="1"/>
  <c r="Y33" i="1"/>
  <c r="Y32" i="1"/>
  <c r="Y31" i="1"/>
  <c r="Y30" i="1"/>
  <c r="Y29" i="1"/>
  <c r="Y28" i="1"/>
  <c r="Y27" i="1"/>
  <c r="Y25" i="1"/>
  <c r="Y24" i="1"/>
  <c r="Y23" i="1"/>
  <c r="Y22" i="1"/>
  <c r="Y21" i="1"/>
  <c r="Y20" i="1"/>
  <c r="Y19" i="1"/>
  <c r="Y18" i="1"/>
  <c r="Y17" i="1"/>
  <c r="Y16" i="1"/>
  <c r="Y15" i="1"/>
  <c r="Y14" i="1"/>
  <c r="Y13" i="1"/>
  <c r="Y12" i="1"/>
  <c r="Y11" i="1"/>
  <c r="Y10" i="1"/>
  <c r="Y9" i="1"/>
  <c r="Y8" i="1"/>
  <c r="Y7" i="1"/>
  <c r="Y6" i="1"/>
  <c r="Y5" i="1"/>
  <c r="Y4" i="1"/>
  <c r="Y3" i="1"/>
  <c r="Y2" i="1"/>
</calcChain>
</file>

<file path=xl/sharedStrings.xml><?xml version="1.0" encoding="utf-8"?>
<sst xmlns="http://schemas.openxmlformats.org/spreadsheetml/2006/main" count="10838" uniqueCount="3341">
  <si>
    <t>Index</t>
  </si>
  <si>
    <t>Name</t>
  </si>
  <si>
    <t>Trade name</t>
  </si>
  <si>
    <t>Internal name</t>
  </si>
  <si>
    <t>Description</t>
  </si>
  <si>
    <t>Line</t>
  </si>
  <si>
    <t>Brand</t>
  </si>
  <si>
    <t>Industry</t>
  </si>
  <si>
    <t>Product type</t>
  </si>
  <si>
    <t>Color</t>
  </si>
  <si>
    <t>Norm</t>
  </si>
  <si>
    <t>Certificate</t>
  </si>
  <si>
    <t>Product features</t>
  </si>
  <si>
    <t>Product characteristics</t>
  </si>
  <si>
    <t>Upper material</t>
  </si>
  <si>
    <t>Lining &amp; Sock</t>
  </si>
  <si>
    <t>Insole</t>
  </si>
  <si>
    <t>Sole</t>
  </si>
  <si>
    <t>Fastening</t>
  </si>
  <si>
    <t>Sizes on request</t>
  </si>
  <si>
    <t>Weight</t>
  </si>
  <si>
    <t>Available sizes</t>
  </si>
  <si>
    <t>000992</t>
  </si>
  <si>
    <t>000-992</t>
  </si>
  <si>
    <t>000992-10</t>
  </si>
  <si>
    <t>000-992-10</t>
  </si>
  <si>
    <t>000994</t>
  </si>
  <si>
    <t>000-994</t>
  </si>
  <si>
    <t>000994R</t>
  </si>
  <si>
    <t>000-994R</t>
  </si>
  <si>
    <t>000995</t>
  </si>
  <si>
    <t>000-995</t>
  </si>
  <si>
    <t>01-000034</t>
  </si>
  <si>
    <t>000-034</t>
  </si>
  <si>
    <t>POLICE SHOE</t>
  </si>
  <si>
    <t>PROTEKTOR</t>
  </si>
  <si>
    <t>FR 35-50  CM 22,5-32,5  UK 3-14,5</t>
  </si>
  <si>
    <t>01-000045</t>
  </si>
  <si>
    <t>000-045</t>
  </si>
  <si>
    <t>FORTO 01-000045</t>
  </si>
  <si>
    <t>FORTO</t>
  </si>
  <si>
    <t>EN ISO 20347:2012</t>
  </si>
  <si>
    <t>IPS-1439-4/2021 edition 2</t>
  </si>
  <si>
    <t>FR 37-48  CM 24-31  UK 4,5-13</t>
  </si>
  <si>
    <t>01-000171</t>
  </si>
  <si>
    <t>000-171</t>
  </si>
  <si>
    <t>FERIO 01-000171</t>
  </si>
  <si>
    <t>FERIO</t>
  </si>
  <si>
    <t>IPS-1439-22/2019 edition 2</t>
  </si>
  <si>
    <t>FR 36-48  CM 23-31  UK 3,5-13</t>
  </si>
  <si>
    <t>01-000743</t>
  </si>
  <si>
    <t>000-743</t>
  </si>
  <si>
    <t>GROM 01-000743</t>
  </si>
  <si>
    <t>GROM</t>
  </si>
  <si>
    <t>FR 35-49  CM 22,5-32  UK 3-14</t>
  </si>
  <si>
    <t>01-000744</t>
  </si>
  <si>
    <t>000-744</t>
  </si>
  <si>
    <t>GROM 01-000744</t>
  </si>
  <si>
    <t>FR 37-51  CM 24-33  UK 4,5-15,5</t>
  </si>
  <si>
    <t>01-000744X</t>
  </si>
  <si>
    <t>000-744X</t>
  </si>
  <si>
    <t>GROM 01-000744X</t>
  </si>
  <si>
    <t>01-000745</t>
  </si>
  <si>
    <t>000-745</t>
  </si>
  <si>
    <t>GROM 01-000745</t>
  </si>
  <si>
    <t>01-000750</t>
  </si>
  <si>
    <t>000-750</t>
  </si>
  <si>
    <t>KANSEN 01-000750</t>
  </si>
  <si>
    <t>KANSEN</t>
  </si>
  <si>
    <t>18/2022/PPE/1439/B edition 1</t>
  </si>
  <si>
    <t>01-000829</t>
  </si>
  <si>
    <t>000-829</t>
  </si>
  <si>
    <t>CYWIL 01-000829</t>
  </si>
  <si>
    <t>CYWIL</t>
  </si>
  <si>
    <t>01-000900</t>
  </si>
  <si>
    <t>000-900</t>
  </si>
  <si>
    <t>VIKING 01-000900</t>
  </si>
  <si>
    <t>VIKING</t>
  </si>
  <si>
    <t>01-000920</t>
  </si>
  <si>
    <t>000-920</t>
  </si>
  <si>
    <t>GROM LIGHT 01-000920</t>
  </si>
  <si>
    <t>GROM LIGHT</t>
  </si>
  <si>
    <t>01-000925</t>
  </si>
  <si>
    <t>000-925</t>
  </si>
  <si>
    <t>HONOR 01-000925</t>
  </si>
  <si>
    <t>HONOR</t>
  </si>
  <si>
    <t>AQAP 2110: 2016 certificate in relation to ISO 9001: 2015 No. 114 / S / 2017</t>
  </si>
  <si>
    <t>FR 36-49  CM 23-32  UK 3,5-14</t>
  </si>
  <si>
    <t>01-000998</t>
  </si>
  <si>
    <t>000-998</t>
  </si>
  <si>
    <t>POLICE BOOT</t>
  </si>
  <si>
    <t>FR 35-48  CM 22,5-31  UK 3-13</t>
  </si>
  <si>
    <t>01-002171</t>
  </si>
  <si>
    <t>002-171</t>
  </si>
  <si>
    <t>FERIO 01-002171</t>
  </si>
  <si>
    <t>EN ISO 20345:2011</t>
  </si>
  <si>
    <t>01-005361</t>
  </si>
  <si>
    <t>005-361</t>
  </si>
  <si>
    <t>X-DROP 01-005361</t>
  </si>
  <si>
    <t>X-DROP</t>
  </si>
  <si>
    <t>IPS-1439-48/2020 edition 1</t>
  </si>
  <si>
    <t>FR 36-47  CM 23-30,5  UK 3,5-12</t>
  </si>
  <si>
    <t>01-005364</t>
  </si>
  <si>
    <t>005-364</t>
  </si>
  <si>
    <t>X-DROP 01-005364</t>
  </si>
  <si>
    <t>IPS-1439-41/2020 edition 1</t>
  </si>
  <si>
    <t>01-005365</t>
  </si>
  <si>
    <t>005-365</t>
  </si>
  <si>
    <t>X-DROP 01-005365</t>
  </si>
  <si>
    <t>IPS-1439-42/2020 edition 1</t>
  </si>
  <si>
    <t>01-005367</t>
  </si>
  <si>
    <t>005-367</t>
  </si>
  <si>
    <t>X-DROP 01-005367</t>
  </si>
  <si>
    <t>01-005840</t>
  </si>
  <si>
    <t>005-840</t>
  </si>
  <si>
    <t>TRAX AUTOMOTIVE 01-005840</t>
  </si>
  <si>
    <t>TRAX AUTOMOTIVE</t>
  </si>
  <si>
    <t>IPS-1439-20/2021 edition 2</t>
  </si>
  <si>
    <t>FR 35-51  CM 22,5-33  UK 3-15,5</t>
  </si>
  <si>
    <t>FR 36-51  CM 23-33  UK 3,5-15,5</t>
  </si>
  <si>
    <t>01-005841</t>
  </si>
  <si>
    <t>005-841</t>
  </si>
  <si>
    <t>TRAX AUTOMOTIVE 01-005841</t>
  </si>
  <si>
    <t>01-005842</t>
  </si>
  <si>
    <t>005-842</t>
  </si>
  <si>
    <t>TRAX AUTOMOTIVE 01-005842</t>
  </si>
  <si>
    <t>01-005847</t>
  </si>
  <si>
    <t>005-847</t>
  </si>
  <si>
    <t>ROAD 01-005847</t>
  </si>
  <si>
    <t>ROAD</t>
  </si>
  <si>
    <t>10/2022/PPE/1439/B edition1</t>
  </si>
  <si>
    <t>01-005848</t>
  </si>
  <si>
    <t>005-848</t>
  </si>
  <si>
    <t>ROAD 01-005848</t>
  </si>
  <si>
    <t>01-005849</t>
  </si>
  <si>
    <t>005-849</t>
  </si>
  <si>
    <t>ROAD 01-005849</t>
  </si>
  <si>
    <t>01-005850</t>
  </si>
  <si>
    <t>005-850</t>
  </si>
  <si>
    <t>CONSTRUCT 01-005850</t>
  </si>
  <si>
    <t>CONSTRUCT</t>
  </si>
  <si>
    <t>IPS-1439-25/2021 edition 3</t>
  </si>
  <si>
    <t>01-005851</t>
  </si>
  <si>
    <t>005-851</t>
  </si>
  <si>
    <t>CONSTRUCT 01-005851</t>
  </si>
  <si>
    <t>01-006123</t>
  </si>
  <si>
    <t>006-123</t>
  </si>
  <si>
    <t>CELT 01-006123</t>
  </si>
  <si>
    <t>CELT</t>
  </si>
  <si>
    <t>IPS-1439-24/2020 edition 4</t>
  </si>
  <si>
    <t>01-006123X</t>
  </si>
  <si>
    <t>006-123X</t>
  </si>
  <si>
    <t>CELT 01-006123X</t>
  </si>
  <si>
    <t>IPS-1439-24/2020 edition 1</t>
  </si>
  <si>
    <t>01-006223</t>
  </si>
  <si>
    <t>006-223</t>
  </si>
  <si>
    <t>CELT 01-006223</t>
  </si>
  <si>
    <t>01-006223X</t>
  </si>
  <si>
    <t>006-223X</t>
  </si>
  <si>
    <t>CELT 01-006223X</t>
  </si>
  <si>
    <t>01-007126</t>
  </si>
  <si>
    <t>007-126</t>
  </si>
  <si>
    <t>WELDER 01-007126</t>
  </si>
  <si>
    <t>WELDER</t>
  </si>
  <si>
    <t>EN ISO 20349-2:2017</t>
  </si>
  <si>
    <t>IPS-1439-51/2019 edition 2</t>
  </si>
  <si>
    <t>FR 39-48  CM 25-31  UK 5,5-13</t>
  </si>
  <si>
    <t>01-007911</t>
  </si>
  <si>
    <t>007-911</t>
  </si>
  <si>
    <t>SOLIGOR 01-007911</t>
  </si>
  <si>
    <t>SOLIGOR</t>
  </si>
  <si>
    <t>80/2022/PPE/1439/B edition1</t>
  </si>
  <si>
    <t>01-008751</t>
  </si>
  <si>
    <t>008-751</t>
  </si>
  <si>
    <t>LAMPO 01-008751</t>
  </si>
  <si>
    <t>LAMPO</t>
  </si>
  <si>
    <t>IPS-1439-30/2020 edition 2</t>
  </si>
  <si>
    <t>01-010046</t>
  </si>
  <si>
    <t>010-046</t>
  </si>
  <si>
    <t>CROSS 01-010046</t>
  </si>
  <si>
    <t>CROSS</t>
  </si>
  <si>
    <t>FR 38-48  CM 24,5-31  UK 5-13</t>
  </si>
  <si>
    <t>01-010370</t>
  </si>
  <si>
    <t>010-370</t>
  </si>
  <si>
    <t>INFINITY 01-010370</t>
  </si>
  <si>
    <t>INFINITY</t>
  </si>
  <si>
    <t>01-010371</t>
  </si>
  <si>
    <t>010-371</t>
  </si>
  <si>
    <t>INFINITY 01-010371</t>
  </si>
  <si>
    <t>01-010410</t>
  </si>
  <si>
    <t>010-410</t>
  </si>
  <si>
    <t>ASPHALT 01-010410</t>
  </si>
  <si>
    <t>ASPHALT</t>
  </si>
  <si>
    <t>91/2022/PPE/1439/B edition 1</t>
  </si>
  <si>
    <t>01-010427</t>
  </si>
  <si>
    <t>010-427</t>
  </si>
  <si>
    <t>ASPHALT 01-010427</t>
  </si>
  <si>
    <t>01-010850</t>
  </si>
  <si>
    <t>010-850</t>
  </si>
  <si>
    <t>CONSTRUCT 01-010850</t>
  </si>
  <si>
    <t>01-010851</t>
  </si>
  <si>
    <t>010-851</t>
  </si>
  <si>
    <t>CONSTRUCT 01-010851</t>
  </si>
  <si>
    <t>01-010851H</t>
  </si>
  <si>
    <t>010-851H</t>
  </si>
  <si>
    <t>CONSTRUCT 01-010851H</t>
  </si>
  <si>
    <t>CONSTRUCT HRO</t>
  </si>
  <si>
    <t>IPS-1439-7/2022 edition 1</t>
  </si>
  <si>
    <t>FR 36-50  CM 23-32,5  UK 3,5-14,5</t>
  </si>
  <si>
    <t>01-010852</t>
  </si>
  <si>
    <t>010-852</t>
  </si>
  <si>
    <t>CRAFT 01-010852</t>
  </si>
  <si>
    <t>CRAFT</t>
  </si>
  <si>
    <t>IPS-1439-28/2021 edition 2</t>
  </si>
  <si>
    <t>01-010853</t>
  </si>
  <si>
    <t>010-853</t>
  </si>
  <si>
    <t>CRAFT 01-010853</t>
  </si>
  <si>
    <t>01-010854</t>
  </si>
  <si>
    <t>010-854</t>
  </si>
  <si>
    <t>CRAFT 01-010854</t>
  </si>
  <si>
    <t>01-010864</t>
  </si>
  <si>
    <t>010-864</t>
  </si>
  <si>
    <t>CONSTRUCT 01-010864</t>
  </si>
  <si>
    <t>IPS-1439-25/2021 edition.3</t>
  </si>
  <si>
    <t>01-010864H</t>
  </si>
  <si>
    <t>010-864H</t>
  </si>
  <si>
    <t>CONSTRUCT 01-010864H</t>
  </si>
  <si>
    <t>CONSTRUCT HRO thinsulate</t>
  </si>
  <si>
    <t>IPS-1439-7/2022 edition.1</t>
  </si>
  <si>
    <t>01-010906H</t>
  </si>
  <si>
    <t>010-906H</t>
  </si>
  <si>
    <t>CONSTRUCT Offshore 01-010906H</t>
  </si>
  <si>
    <t>CONSTRUCT Offshore</t>
  </si>
  <si>
    <t>IPS-1439-7/2022 edition1</t>
  </si>
  <si>
    <t>01-010910</t>
  </si>
  <si>
    <t>010-910</t>
  </si>
  <si>
    <t>UNIQUE PRO 01-010910</t>
  </si>
  <si>
    <t>UNIQUE PRO</t>
  </si>
  <si>
    <t>17/2022/PPE/1439/B wyd.1</t>
  </si>
  <si>
    <t>FR 35-52  CM 22,5-34</t>
  </si>
  <si>
    <t>01-010912</t>
  </si>
  <si>
    <t>010-912</t>
  </si>
  <si>
    <t>RESCUE 01-010912</t>
  </si>
  <si>
    <t>RESCUE</t>
  </si>
  <si>
    <t>58/2022/PPE/1439/B edition 1</t>
  </si>
  <si>
    <t>01-010916</t>
  </si>
  <si>
    <t>010-916</t>
  </si>
  <si>
    <t>RESCUE 01-010916</t>
  </si>
  <si>
    <t>01-010918</t>
  </si>
  <si>
    <t>010-918</t>
  </si>
  <si>
    <t>UNIQUE PRO 01-010918</t>
  </si>
  <si>
    <t>01-010924</t>
  </si>
  <si>
    <t>010-924</t>
  </si>
  <si>
    <t>17/2022/PPE/1439/B edition 1</t>
  </si>
  <si>
    <t>01-010930</t>
  </si>
  <si>
    <t>010-930</t>
  </si>
  <si>
    <t>UNIQUE PRO 01-010930</t>
  </si>
  <si>
    <t>01-010931</t>
  </si>
  <si>
    <t>010-931</t>
  </si>
  <si>
    <t>UNIQUE PRO 01-010931</t>
  </si>
  <si>
    <t>01-010932</t>
  </si>
  <si>
    <t>010-932</t>
  </si>
  <si>
    <t>UNIQUE PRO 01-010932</t>
  </si>
  <si>
    <t>01-010940H</t>
  </si>
  <si>
    <t>010-940H</t>
  </si>
  <si>
    <t>CONSTRUCT Offshore 01-010940H</t>
  </si>
  <si>
    <t>01-011852</t>
  </si>
  <si>
    <t>011-852</t>
  </si>
  <si>
    <t>CRAFT 01-011852</t>
  </si>
  <si>
    <t>01-011913</t>
  </si>
  <si>
    <t>011-913</t>
  </si>
  <si>
    <t>PRECIZER 01-011913</t>
  </si>
  <si>
    <t>PRECIZER</t>
  </si>
  <si>
    <t>IPS-1439-34/2020 edition 2</t>
  </si>
  <si>
    <t>01-015046</t>
  </si>
  <si>
    <t>015-046</t>
  </si>
  <si>
    <t>CROSS 01-015046</t>
  </si>
  <si>
    <t>01-015124</t>
  </si>
  <si>
    <t>015-124</t>
  </si>
  <si>
    <t>01-015363</t>
  </si>
  <si>
    <t>015-363</t>
  </si>
  <si>
    <t>X-DROP 01-015363</t>
  </si>
  <si>
    <t>01-015367</t>
  </si>
  <si>
    <t>015-367</t>
  </si>
  <si>
    <t>X-DROP 01-015367</t>
  </si>
  <si>
    <t>01-015371</t>
  </si>
  <si>
    <t>015-371</t>
  </si>
  <si>
    <t>01-015840</t>
  </si>
  <si>
    <t>015-840</t>
  </si>
  <si>
    <t>TRAX 01-015840</t>
  </si>
  <si>
    <t>TRAX</t>
  </si>
  <si>
    <t>01-015841</t>
  </si>
  <si>
    <t>015-841</t>
  </si>
  <si>
    <t>TRAX 01-015841</t>
  </si>
  <si>
    <t>01-015842</t>
  </si>
  <si>
    <t>015-842</t>
  </si>
  <si>
    <t>TRAX 01-015842</t>
  </si>
  <si>
    <t>01-015847</t>
  </si>
  <si>
    <t>015-847</t>
  </si>
  <si>
    <t>ROAD 01-015847</t>
  </si>
  <si>
    <t>01-015848</t>
  </si>
  <si>
    <t>015-848</t>
  </si>
  <si>
    <t>ROAD 01-015848</t>
  </si>
  <si>
    <t>01-015849</t>
  </si>
  <si>
    <t>015-849</t>
  </si>
  <si>
    <t>ROAD 01-015849</t>
  </si>
  <si>
    <t>01-015920</t>
  </si>
  <si>
    <t>015-920</t>
  </si>
  <si>
    <t>GROM LIGHT 01-015920</t>
  </si>
  <si>
    <t>01-016863</t>
  </si>
  <si>
    <t>016-863</t>
  </si>
  <si>
    <t>TRAX LIGHT 01-016863</t>
  </si>
  <si>
    <t>TRAX LIGHT</t>
  </si>
  <si>
    <t>9/2022/PPE/1439/B edition 1</t>
  </si>
  <si>
    <t>01-017011</t>
  </si>
  <si>
    <t>017-011</t>
  </si>
  <si>
    <t>SENTINEL 01-017011</t>
  </si>
  <si>
    <t>SENTINEL</t>
  </si>
  <si>
    <t>01-017469</t>
  </si>
  <si>
    <t>017-469</t>
  </si>
  <si>
    <t>FENIX 01-017469</t>
  </si>
  <si>
    <t>FENIX</t>
  </si>
  <si>
    <t>IPS-1439-25/2019 edition 2</t>
  </si>
  <si>
    <t>01-017863</t>
  </si>
  <si>
    <t>017-863</t>
  </si>
  <si>
    <t>TRAX LIGHT 01-017863</t>
  </si>
  <si>
    <t>01-018663</t>
  </si>
  <si>
    <t>018-663</t>
  </si>
  <si>
    <t>GATOR 01-018663</t>
  </si>
  <si>
    <t>GATOR</t>
  </si>
  <si>
    <t>01-018689</t>
  </si>
  <si>
    <t>018-689</t>
  </si>
  <si>
    <t>GATOR 01-018689</t>
  </si>
  <si>
    <t>01-021863</t>
  </si>
  <si>
    <t>021-863</t>
  </si>
  <si>
    <t>TRAX LIGHT 01-021863</t>
  </si>
  <si>
    <t>01-022863</t>
  </si>
  <si>
    <t>022-863</t>
  </si>
  <si>
    <t>TRAX LIGHT 01-022863</t>
  </si>
  <si>
    <t>01-025365</t>
  </si>
  <si>
    <t>025-365</t>
  </si>
  <si>
    <t>X-DROP 01-025365</t>
  </si>
  <si>
    <t>01-025371</t>
  </si>
  <si>
    <t>025-371</t>
  </si>
  <si>
    <t>01-025840</t>
  </si>
  <si>
    <t>025-840</t>
  </si>
  <si>
    <t>TRAX 01-025840</t>
  </si>
  <si>
    <t>01-025841</t>
  </si>
  <si>
    <t>025-841</t>
  </si>
  <si>
    <t>TRAX 01-025841</t>
  </si>
  <si>
    <t>01-025842</t>
  </si>
  <si>
    <t>025-842</t>
  </si>
  <si>
    <t>TRAX 01-025842</t>
  </si>
  <si>
    <t>01-025850</t>
  </si>
  <si>
    <t>025-850</t>
  </si>
  <si>
    <t>CONSTRUCT 01-025850</t>
  </si>
  <si>
    <t>01-025851</t>
  </si>
  <si>
    <t>025-851</t>
  </si>
  <si>
    <t>CONSTRUCT 01-025851</t>
  </si>
  <si>
    <t>01-025920</t>
  </si>
  <si>
    <t>025-920</t>
  </si>
  <si>
    <t>GROM LIGHT 01-025920</t>
  </si>
  <si>
    <t>01-025929</t>
  </si>
  <si>
    <t>025-929</t>
  </si>
  <si>
    <t>UNIQUE 01-025929</t>
  </si>
  <si>
    <t>UNIQUE</t>
  </si>
  <si>
    <t>1/2022/PPE/1439/B edition 1</t>
  </si>
  <si>
    <t>01-035124U</t>
  </si>
  <si>
    <t>035-124U</t>
  </si>
  <si>
    <t>01-035929</t>
  </si>
  <si>
    <t>035-929</t>
  </si>
  <si>
    <t>UNIQUE 01-035929</t>
  </si>
  <si>
    <t>01-045840</t>
  </si>
  <si>
    <t>045-840</t>
  </si>
  <si>
    <t>TRAX 01-045840</t>
  </si>
  <si>
    <t>01-045841</t>
  </si>
  <si>
    <t>045-841</t>
  </si>
  <si>
    <t>TRAX 01-045841</t>
  </si>
  <si>
    <t>01-045842</t>
  </si>
  <si>
    <t>045-842</t>
  </si>
  <si>
    <t>TRAX 01-045842</t>
  </si>
  <si>
    <t>01-045920</t>
  </si>
  <si>
    <t>045-920</t>
  </si>
  <si>
    <t>GROM LIGHT 01-045920</t>
  </si>
  <si>
    <t>01-048633</t>
  </si>
  <si>
    <t>048-633</t>
  </si>
  <si>
    <t>STRATUS COMMANDER</t>
  </si>
  <si>
    <t>FR 39-50  CM 25-32,5  UK 5,5-14,5</t>
  </si>
  <si>
    <t>01-048690</t>
  </si>
  <si>
    <t>048-690</t>
  </si>
  <si>
    <t>PRO ARMY DESANT 01-048690</t>
  </si>
  <si>
    <t xml:space="preserve">PRO ARMY DESANT </t>
  </si>
  <si>
    <t>01-051982</t>
  </si>
  <si>
    <t>051-982</t>
  </si>
  <si>
    <t>01-065657</t>
  </si>
  <si>
    <t>065-657</t>
  </si>
  <si>
    <t>STRATUS COMMANDER 01-065657</t>
  </si>
  <si>
    <t>FR 35-41  CM 22,5-26,5  UK 3-7</t>
  </si>
  <si>
    <t>01-071715</t>
  </si>
  <si>
    <t>071-715</t>
  </si>
  <si>
    <t>PARADER 01-071715</t>
  </si>
  <si>
    <t>PARADER</t>
  </si>
  <si>
    <t>01-108742</t>
  </si>
  <si>
    <t>108-742</t>
  </si>
  <si>
    <t>GROM 01-108742</t>
  </si>
  <si>
    <t>01-110428A</t>
  </si>
  <si>
    <t>110-428A</t>
  </si>
  <si>
    <t>ZERTIX 01-110428A</t>
  </si>
  <si>
    <t>ZERTIX</t>
  </si>
  <si>
    <t>EN 15090:2012</t>
  </si>
  <si>
    <t>16/2022/PPE/1439/B edition1</t>
  </si>
  <si>
    <t>Firefighter's boot height - design C</t>
  </si>
  <si>
    <t>01-110828</t>
  </si>
  <si>
    <t>110-828</t>
  </si>
  <si>
    <t>BLAST 01-110828</t>
  </si>
  <si>
    <t>BLAST</t>
  </si>
  <si>
    <t>IPS-1439-26/2021 edition1</t>
  </si>
  <si>
    <t>01-110831</t>
  </si>
  <si>
    <t>110-831</t>
  </si>
  <si>
    <t>BLAST 01-110831</t>
  </si>
  <si>
    <t>IPS-1439-38/2021 edition 2</t>
  </si>
  <si>
    <t>01-110832</t>
  </si>
  <si>
    <t>110-832</t>
  </si>
  <si>
    <t>FALCON 01-110832</t>
  </si>
  <si>
    <t>FALCON</t>
  </si>
  <si>
    <t>IPS-1439-34/2021 edition 2</t>
  </si>
  <si>
    <t>01-110834</t>
  </si>
  <si>
    <t>110-834</t>
  </si>
  <si>
    <t>FALCON 01-110834</t>
  </si>
  <si>
    <t>IPS-1439-37/2021 edition 2</t>
  </si>
  <si>
    <t>01-110835</t>
  </si>
  <si>
    <t>110-835</t>
  </si>
  <si>
    <t>FALCON 01-110835</t>
  </si>
  <si>
    <t>IPS-1439-35/2021 edition 2</t>
  </si>
  <si>
    <t>01-110928</t>
  </si>
  <si>
    <t>110-928</t>
  </si>
  <si>
    <t>BLAST 01-110928</t>
  </si>
  <si>
    <t>IPS-1439-26/2021 edition 1</t>
  </si>
  <si>
    <t>Firefighter's boot height - design D</t>
  </si>
  <si>
    <t>01-111832</t>
  </si>
  <si>
    <t>111-832</t>
  </si>
  <si>
    <t>FALCON 01-111832</t>
  </si>
  <si>
    <t>IPS-1439-36/2021 edition 2</t>
  </si>
  <si>
    <t>01-111835</t>
  </si>
  <si>
    <t>111-835</t>
  </si>
  <si>
    <t>FALCON 01-111835</t>
  </si>
  <si>
    <t>01-118742</t>
  </si>
  <si>
    <t>118-742</t>
  </si>
  <si>
    <t>GROM 01-118742</t>
  </si>
  <si>
    <t>IPS-1439-6/2018 edition 2</t>
  </si>
  <si>
    <t>01-228742</t>
  </si>
  <si>
    <t>228-742</t>
  </si>
  <si>
    <t>GROM 01-228742</t>
  </si>
  <si>
    <t>01-228745</t>
  </si>
  <si>
    <t>228-745</t>
  </si>
  <si>
    <t>GROM 01-228745</t>
  </si>
  <si>
    <t>01-348045</t>
  </si>
  <si>
    <t>348-045</t>
  </si>
  <si>
    <t>FORTO 01-348045</t>
  </si>
  <si>
    <t>01-600981</t>
  </si>
  <si>
    <t>600-981</t>
  </si>
  <si>
    <t>OFFICER 01-600981</t>
  </si>
  <si>
    <t>OFFICER</t>
  </si>
  <si>
    <t>01-700587</t>
  </si>
  <si>
    <t>700-587</t>
  </si>
  <si>
    <t>PRAKTIKA 01-700587</t>
  </si>
  <si>
    <t>PRAKTIKA</t>
  </si>
  <si>
    <t>IPS-1439-19/2019 edition 2</t>
  </si>
  <si>
    <t>01-700909</t>
  </si>
  <si>
    <t>700-909</t>
  </si>
  <si>
    <t>TORK 01-700909</t>
  </si>
  <si>
    <t>TORK</t>
  </si>
  <si>
    <t>01-700961</t>
  </si>
  <si>
    <t>700-961</t>
  </si>
  <si>
    <t>VELKOR 01-700961</t>
  </si>
  <si>
    <t>VELKOR</t>
  </si>
  <si>
    <t>01-701132</t>
  </si>
  <si>
    <t>701-132</t>
  </si>
  <si>
    <t>VELKOR 01-701132</t>
  </si>
  <si>
    <t>01-701290</t>
  </si>
  <si>
    <t>701-290</t>
  </si>
  <si>
    <t>TENSIO 01-701290</t>
  </si>
  <si>
    <t>TENSIO</t>
  </si>
  <si>
    <t>01-702110</t>
  </si>
  <si>
    <t>702-110</t>
  </si>
  <si>
    <t>CERTO 01-702110</t>
  </si>
  <si>
    <t>CERTO</t>
  </si>
  <si>
    <t>01-702342</t>
  </si>
  <si>
    <t>702-342</t>
  </si>
  <si>
    <t>PRAKTIKA 01-702342</t>
  </si>
  <si>
    <t>01-702659</t>
  </si>
  <si>
    <t>702-659</t>
  </si>
  <si>
    <t>TORK 01-702659</t>
  </si>
  <si>
    <t>01-703132</t>
  </si>
  <si>
    <t>703-132</t>
  </si>
  <si>
    <t>VELKOR 01-703132</t>
  </si>
  <si>
    <t>01-703342</t>
  </si>
  <si>
    <t>703-342</t>
  </si>
  <si>
    <t>PRAKTIKA 01-703342</t>
  </si>
  <si>
    <t>01-703655</t>
  </si>
  <si>
    <t>703-655</t>
  </si>
  <si>
    <t>TORK 01-703655</t>
  </si>
  <si>
    <t>01-703659</t>
  </si>
  <si>
    <t>703-659</t>
  </si>
  <si>
    <t>TORK 01-703659</t>
  </si>
  <si>
    <t>01-705011</t>
  </si>
  <si>
    <t>705-011</t>
  </si>
  <si>
    <t>LEO 01-705011</t>
  </si>
  <si>
    <t>LEO</t>
  </si>
  <si>
    <t>IPS-1439-6/2022 edition 1</t>
  </si>
  <si>
    <t>01-705031</t>
  </si>
  <si>
    <t>705-031</t>
  </si>
  <si>
    <t>LEO 01-705031</t>
  </si>
  <si>
    <t>IPS-1439-23/2019 edition 1</t>
  </si>
  <si>
    <t>01-705311</t>
  </si>
  <si>
    <t>705-311</t>
  </si>
  <si>
    <t>LEO 01-705311</t>
  </si>
  <si>
    <t>01-705411</t>
  </si>
  <si>
    <t>705-411</t>
  </si>
  <si>
    <t>LEO 01-705411</t>
  </si>
  <si>
    <t>01-705412</t>
  </si>
  <si>
    <t>705-412</t>
  </si>
  <si>
    <t>LEO 01-705412</t>
  </si>
  <si>
    <t>01-711132</t>
  </si>
  <si>
    <t>711-132</t>
  </si>
  <si>
    <t>VELKOR 01-711132</t>
  </si>
  <si>
    <t>01-712342</t>
  </si>
  <si>
    <t>712-342</t>
  </si>
  <si>
    <t>PRAKTIKA 01-712342</t>
  </si>
  <si>
    <t>01-721132</t>
  </si>
  <si>
    <t>721-132</t>
  </si>
  <si>
    <t>VELKOR 01-721132</t>
  </si>
  <si>
    <t>02-0000810</t>
  </si>
  <si>
    <t>0810</t>
  </si>
  <si>
    <t>BRAZIL 02-0000810</t>
  </si>
  <si>
    <t>BRAZIL</t>
  </si>
  <si>
    <t>ABEBA</t>
  </si>
  <si>
    <t>FR 35-47  CM 22,5-30,5  UK 3-12</t>
  </si>
  <si>
    <t>02-0001000</t>
  </si>
  <si>
    <t>1000</t>
  </si>
  <si>
    <t>CLASSIC 02-0001000</t>
  </si>
  <si>
    <t>CLASSIC</t>
  </si>
  <si>
    <t>2102831 02 86</t>
  </si>
  <si>
    <t>FR 36-46  CM 23-30  UK 3,5-11,5</t>
  </si>
  <si>
    <t>02-0001001</t>
  </si>
  <si>
    <t>1001</t>
  </si>
  <si>
    <t>CLASSIC 02-0001001</t>
  </si>
  <si>
    <t>02-0001010</t>
  </si>
  <si>
    <t>1010</t>
  </si>
  <si>
    <t>CLASSIC 02-0001010</t>
  </si>
  <si>
    <t>02-0001011</t>
  </si>
  <si>
    <t>1011</t>
  </si>
  <si>
    <t>CLASSIC 02-0001011</t>
  </si>
  <si>
    <t>02-0001064</t>
  </si>
  <si>
    <t>1064</t>
  </si>
  <si>
    <t>REFLEXOR 02-0001064</t>
  </si>
  <si>
    <t>REFLEXOR</t>
  </si>
  <si>
    <t>FR 36-42  CM 23-27  UK 3,5-8</t>
  </si>
  <si>
    <t>02-0001092</t>
  </si>
  <si>
    <t>1092</t>
  </si>
  <si>
    <t>REFLEXOR 02-0001092</t>
  </si>
  <si>
    <t>02-0001094</t>
  </si>
  <si>
    <t>1094</t>
  </si>
  <si>
    <t>REFLEXOR 02-0001094</t>
  </si>
  <si>
    <t>02-0001122</t>
  </si>
  <si>
    <t>1122</t>
  </si>
  <si>
    <t>ANATOM 02-0001122</t>
  </si>
  <si>
    <t>ANATOM</t>
  </si>
  <si>
    <t>1803852 02 86</t>
  </si>
  <si>
    <t>02-0001158</t>
  </si>
  <si>
    <t>1158</t>
  </si>
  <si>
    <t>LIGHT 02-0001158</t>
  </si>
  <si>
    <t>LIGHT</t>
  </si>
  <si>
    <t>02-0001272</t>
  </si>
  <si>
    <t>1272</t>
  </si>
  <si>
    <t>STATIC CONTROL 02-0001272</t>
  </si>
  <si>
    <t>STATIC CONTROL</t>
  </si>
  <si>
    <t>2008598 02 86</t>
  </si>
  <si>
    <t>02-0001275</t>
  </si>
  <si>
    <t>1275</t>
  </si>
  <si>
    <t>STATIC CONTROL 02-0001275</t>
  </si>
  <si>
    <t>02-0001500</t>
  </si>
  <si>
    <t>1500</t>
  </si>
  <si>
    <t>CLASSIC 02-0001500</t>
  </si>
  <si>
    <t>2102762 02 86</t>
  </si>
  <si>
    <t>02-0001628</t>
  </si>
  <si>
    <t>1628</t>
  </si>
  <si>
    <t>UNI6 02-0001628</t>
  </si>
  <si>
    <t>UNI6</t>
  </si>
  <si>
    <t>1803842 02 86</t>
  </si>
  <si>
    <t>02-0001629</t>
  </si>
  <si>
    <t>1629</t>
  </si>
  <si>
    <t>UNI6 02-0001629</t>
  </si>
  <si>
    <t>02-0001641</t>
  </si>
  <si>
    <t>1641</t>
  </si>
  <si>
    <t>UNI6 02-0001641</t>
  </si>
  <si>
    <t>02-0001676</t>
  </si>
  <si>
    <t>1676</t>
  </si>
  <si>
    <t>UNI6 02-0001676</t>
  </si>
  <si>
    <t>02-0001740</t>
  </si>
  <si>
    <t>1740</t>
  </si>
  <si>
    <t>UNI6 02-0001740</t>
  </si>
  <si>
    <t>2102177 02 86</t>
  </si>
  <si>
    <t>02-0001741</t>
  </si>
  <si>
    <t>1741</t>
  </si>
  <si>
    <t>UNI6 02-0001741</t>
  </si>
  <si>
    <t>02-0001760</t>
  </si>
  <si>
    <t>1760</t>
  </si>
  <si>
    <t>UNI6 02-0001760</t>
  </si>
  <si>
    <t>1802678 02 86</t>
  </si>
  <si>
    <t>02-0001761</t>
  </si>
  <si>
    <t>1761</t>
  </si>
  <si>
    <t>UNI6 02-0001761</t>
  </si>
  <si>
    <t>02-0001765</t>
  </si>
  <si>
    <t>1765</t>
  </si>
  <si>
    <t>UNI6 02-0001765</t>
  </si>
  <si>
    <t>02-0001772</t>
  </si>
  <si>
    <t>1772</t>
  </si>
  <si>
    <t>UNI6 02-0001772</t>
  </si>
  <si>
    <t>02-0001773</t>
  </si>
  <si>
    <t>1773</t>
  </si>
  <si>
    <t>UNI6 02-0001773</t>
  </si>
  <si>
    <t>02-0001774</t>
  </si>
  <si>
    <t>1774</t>
  </si>
  <si>
    <t>UNI6 02-0001774</t>
  </si>
  <si>
    <t>02-0001775</t>
  </si>
  <si>
    <t>1775</t>
  </si>
  <si>
    <t>UNI6 02-0001775</t>
  </si>
  <si>
    <t>02-0001780</t>
  </si>
  <si>
    <t>1780</t>
  </si>
  <si>
    <t>UNI6 02-0001780</t>
  </si>
  <si>
    <t>02-0001781</t>
  </si>
  <si>
    <t>1781</t>
  </si>
  <si>
    <t>UNI6 02-0001781</t>
  </si>
  <si>
    <t>02-0001786</t>
  </si>
  <si>
    <t>1786</t>
  </si>
  <si>
    <t>UNI6 02-0001786</t>
  </si>
  <si>
    <t>02-0001787</t>
  </si>
  <si>
    <t>1787</t>
  </si>
  <si>
    <t>UNI6 02-0001787</t>
  </si>
  <si>
    <t>02-0001795</t>
  </si>
  <si>
    <t>1795</t>
  </si>
  <si>
    <t>UNI6 02-0001795</t>
  </si>
  <si>
    <t>1803252 02 86</t>
  </si>
  <si>
    <t>02-0001796</t>
  </si>
  <si>
    <t>1796</t>
  </si>
  <si>
    <t>UNI6 02-0001796</t>
  </si>
  <si>
    <t>02-0002120</t>
  </si>
  <si>
    <t>2120</t>
  </si>
  <si>
    <t>ANATOM 02-0002120</t>
  </si>
  <si>
    <t>1803916 02 86</t>
  </si>
  <si>
    <t>FR 36-52  CM 23-34</t>
  </si>
  <si>
    <t>02-0002125</t>
  </si>
  <si>
    <t>2125</t>
  </si>
  <si>
    <t>ANATOM 02-0002125</t>
  </si>
  <si>
    <t>02-0002130</t>
  </si>
  <si>
    <t>2130</t>
  </si>
  <si>
    <t>ANATOM 02-0002130</t>
  </si>
  <si>
    <t>1803937 02 86</t>
  </si>
  <si>
    <t>02-0002131</t>
  </si>
  <si>
    <t>2131</t>
  </si>
  <si>
    <t>ANATOM 02-0002131</t>
  </si>
  <si>
    <t>02-0002135</t>
  </si>
  <si>
    <t>2135</t>
  </si>
  <si>
    <t>ANATOM 02-0002135</t>
  </si>
  <si>
    <t>02-0002136</t>
  </si>
  <si>
    <t>2136</t>
  </si>
  <si>
    <t>ANATOM 02-0002136</t>
  </si>
  <si>
    <t>02-0002140</t>
  </si>
  <si>
    <t>2140</t>
  </si>
  <si>
    <t>ANATOM 02-0002140</t>
  </si>
  <si>
    <t>02-0002168</t>
  </si>
  <si>
    <t>2168</t>
  </si>
  <si>
    <t>ANATOM 02-0002168</t>
  </si>
  <si>
    <t>02-0002171</t>
  </si>
  <si>
    <t>2171</t>
  </si>
  <si>
    <t>ANATOM 02-0002171</t>
  </si>
  <si>
    <t>02-0002172</t>
  </si>
  <si>
    <t>2172</t>
  </si>
  <si>
    <t>ANATOM 02-0002172</t>
  </si>
  <si>
    <t>02-0002251</t>
  </si>
  <si>
    <t>2251</t>
  </si>
  <si>
    <t>ANATOM 02-0002251</t>
  </si>
  <si>
    <t>1803979 02 86</t>
  </si>
  <si>
    <t>02-0002252</t>
  </si>
  <si>
    <t>2252</t>
  </si>
  <si>
    <t>ANATOM 02-0002252</t>
  </si>
  <si>
    <t>02-0002257</t>
  </si>
  <si>
    <t>2257</t>
  </si>
  <si>
    <t>ANATOM 02-0002257</t>
  </si>
  <si>
    <t>02-0002280</t>
  </si>
  <si>
    <t>2280</t>
  </si>
  <si>
    <t>ANATOM 02-0002280</t>
  </si>
  <si>
    <t>02-0002281</t>
  </si>
  <si>
    <t>2281</t>
  </si>
  <si>
    <t>ANATOM 02-0002281</t>
  </si>
  <si>
    <t>02-0002282</t>
  </si>
  <si>
    <t>2282</t>
  </si>
  <si>
    <t>ANATOM 02-0002282</t>
  </si>
  <si>
    <t>1803945 02 86</t>
  </si>
  <si>
    <t>02-0002283</t>
  </si>
  <si>
    <t>2283</t>
  </si>
  <si>
    <t>ANATOM 02-0002283</t>
  </si>
  <si>
    <t>02-0002370</t>
  </si>
  <si>
    <t>2370</t>
  </si>
  <si>
    <t>AIR CUSHION 02-0002370</t>
  </si>
  <si>
    <t>AIR CUSHION</t>
  </si>
  <si>
    <t>2102590 02 86</t>
  </si>
  <si>
    <t>02-0002600</t>
  </si>
  <si>
    <t>2600</t>
  </si>
  <si>
    <t>AIR CUSHION 02-0002600</t>
  </si>
  <si>
    <t>2102596 02 86</t>
  </si>
  <si>
    <t>02-0002610</t>
  </si>
  <si>
    <t>2610</t>
  </si>
  <si>
    <t>AIR CUSHION 02-0002610</t>
  </si>
  <si>
    <t>02-0002616</t>
  </si>
  <si>
    <t>2616</t>
  </si>
  <si>
    <t>ANATOM 02-0002616</t>
  </si>
  <si>
    <t>02-0002626</t>
  </si>
  <si>
    <t>2626</t>
  </si>
  <si>
    <t>ANATOM 02-0002626</t>
  </si>
  <si>
    <t>02-0002650</t>
  </si>
  <si>
    <t>2650</t>
  </si>
  <si>
    <t>AIR CUSHION 02-0002650</t>
  </si>
  <si>
    <t>02-0002700</t>
  </si>
  <si>
    <t>2700</t>
  </si>
  <si>
    <t>AIR CUSHION 02-0002700</t>
  </si>
  <si>
    <t>FR 39-47  CM 25-30,5  UK 5,5-12</t>
  </si>
  <si>
    <t>02-0002710</t>
  </si>
  <si>
    <t>2710</t>
  </si>
  <si>
    <t>AIR CUSHION 02-0002710</t>
  </si>
  <si>
    <t>02-0003000</t>
  </si>
  <si>
    <t>3000</t>
  </si>
  <si>
    <t>SERVICE 02-0003000</t>
  </si>
  <si>
    <t>SERVICE</t>
  </si>
  <si>
    <t>FR 34-42  CM 22-27  UK 2-8</t>
  </si>
  <si>
    <t>02-0003030</t>
  </si>
  <si>
    <t>3030</t>
  </si>
  <si>
    <t>SERVICE 02-0003030</t>
  </si>
  <si>
    <t>1809025 02 86</t>
  </si>
  <si>
    <t>02-0003081</t>
  </si>
  <si>
    <t>3081</t>
  </si>
  <si>
    <t>SERVICE 02-0003081</t>
  </si>
  <si>
    <t>02-0003110</t>
  </si>
  <si>
    <t>3110</t>
  </si>
  <si>
    <t>MANAGER 02-0003110</t>
  </si>
  <si>
    <t>MANAGER</t>
  </si>
  <si>
    <t>02-0003120</t>
  </si>
  <si>
    <t>3120</t>
  </si>
  <si>
    <t>MANAGER 02-0003120</t>
  </si>
  <si>
    <t>02-0003121</t>
  </si>
  <si>
    <t>3121</t>
  </si>
  <si>
    <t>MANAGER 02-0003121</t>
  </si>
  <si>
    <t>02-0003130</t>
  </si>
  <si>
    <t>3130</t>
  </si>
  <si>
    <t>MANAGER 02-0003130</t>
  </si>
  <si>
    <t>02-0003620</t>
  </si>
  <si>
    <t>3620</t>
  </si>
  <si>
    <t>CLEAN ROOM 02-0003620</t>
  </si>
  <si>
    <t>CLEAN ROOM</t>
  </si>
  <si>
    <t>02-0003910</t>
  </si>
  <si>
    <t>3910</t>
  </si>
  <si>
    <t>CLEAN ROOM 02-0003910</t>
  </si>
  <si>
    <t>36-37-47-48</t>
  </si>
  <si>
    <t>02-0003920</t>
  </si>
  <si>
    <t>3920</t>
  </si>
  <si>
    <t>BUSINESS LADY 02-0003920</t>
  </si>
  <si>
    <t>BUSINESS LADY</t>
  </si>
  <si>
    <t>02-0003940</t>
  </si>
  <si>
    <t>3940</t>
  </si>
  <si>
    <t>BUSINESS LADY 02-0003940</t>
  </si>
  <si>
    <t>02-0003980</t>
  </si>
  <si>
    <t>3980</t>
  </si>
  <si>
    <t>BUSINESS LADY 02-0003980</t>
  </si>
  <si>
    <t>02-0003990</t>
  </si>
  <si>
    <t>3990</t>
  </si>
  <si>
    <t>BUSINESS LADY 02-0003990</t>
  </si>
  <si>
    <t>02-0004040</t>
  </si>
  <si>
    <t>4040</t>
  </si>
  <si>
    <t>NATURE 02-0004040</t>
  </si>
  <si>
    <t>NATURE</t>
  </si>
  <si>
    <t>2003061 02 86</t>
  </si>
  <si>
    <t>FR 34-48  CM 22-31  UK 2-13</t>
  </si>
  <si>
    <t>02-0004045</t>
  </si>
  <si>
    <t>4045</t>
  </si>
  <si>
    <t>NATURE 02-0004045</t>
  </si>
  <si>
    <t>02-0004050</t>
  </si>
  <si>
    <t>4050</t>
  </si>
  <si>
    <t>NATURE 02-0004050</t>
  </si>
  <si>
    <t>02-0004055</t>
  </si>
  <si>
    <t>4055</t>
  </si>
  <si>
    <t>NATURE 02-0004055</t>
  </si>
  <si>
    <t>02-0004080</t>
  </si>
  <si>
    <t>4080</t>
  </si>
  <si>
    <t>NATURE 02-0004080</t>
  </si>
  <si>
    <t>02-0004085</t>
  </si>
  <si>
    <t>4085</t>
  </si>
  <si>
    <t>NATURE 02-0004085</t>
  </si>
  <si>
    <t>02-0004086</t>
  </si>
  <si>
    <t>4086</t>
  </si>
  <si>
    <t>NATURE 02-0004086</t>
  </si>
  <si>
    <t>02-0004090</t>
  </si>
  <si>
    <t>4090</t>
  </si>
  <si>
    <t>NATURE 02-0004090</t>
  </si>
  <si>
    <t>02-0004096</t>
  </si>
  <si>
    <t>4096</t>
  </si>
  <si>
    <t>NATURE 02-0004096</t>
  </si>
  <si>
    <t>02-0005007</t>
  </si>
  <si>
    <t>5007</t>
  </si>
  <si>
    <t>THE ORIGINAL 02-0005007</t>
  </si>
  <si>
    <t>THE ORIGINAL</t>
  </si>
  <si>
    <t>1803150 02 86</t>
  </si>
  <si>
    <t>02-0005013</t>
  </si>
  <si>
    <t>5013</t>
  </si>
  <si>
    <t>THE ORIGINAL 02-0005013</t>
  </si>
  <si>
    <t>02-0005080</t>
  </si>
  <si>
    <t>5080</t>
  </si>
  <si>
    <t>THE ORIGINAL 02-0005080</t>
  </si>
  <si>
    <t>FR 35-43  CM 22,5-28  UK 3-9</t>
  </si>
  <si>
    <t>02-0005081</t>
  </si>
  <si>
    <t>5081</t>
  </si>
  <si>
    <t>THE ORIGINAL 02-0005081</t>
  </si>
  <si>
    <t>02-0005100</t>
  </si>
  <si>
    <t>5100</t>
  </si>
  <si>
    <t>2102164 02 86</t>
  </si>
  <si>
    <t>02-0005150</t>
  </si>
  <si>
    <t>5150</t>
  </si>
  <si>
    <t>02-0005200</t>
  </si>
  <si>
    <t>5200</t>
  </si>
  <si>
    <t>02-0005250</t>
  </si>
  <si>
    <t>5250</t>
  </si>
  <si>
    <t>02-0005300</t>
  </si>
  <si>
    <t>5300</t>
  </si>
  <si>
    <t>02-0005310</t>
  </si>
  <si>
    <t>5310</t>
  </si>
  <si>
    <t>02-0005700</t>
  </si>
  <si>
    <t>5700</t>
  </si>
  <si>
    <t>REFLEXOR 02-0005700</t>
  </si>
  <si>
    <t>1808990 02 86</t>
  </si>
  <si>
    <t>FR 40-46  CM 26-30  UK 6,5-11,5</t>
  </si>
  <si>
    <t>02-0005710</t>
  </si>
  <si>
    <t>5710</t>
  </si>
  <si>
    <t>REFLEXOR 02-0005710</t>
  </si>
  <si>
    <t>02-0006610</t>
  </si>
  <si>
    <t>6610</t>
  </si>
  <si>
    <t>REFLEXOR 02-0006610</t>
  </si>
  <si>
    <t>02-0006728</t>
  </si>
  <si>
    <t>6728</t>
  </si>
  <si>
    <t>UNI6 02-0006728</t>
  </si>
  <si>
    <t>2102186 02 86</t>
  </si>
  <si>
    <t>02-0006729</t>
  </si>
  <si>
    <t>6729</t>
  </si>
  <si>
    <t>UNI6 02-0006729</t>
  </si>
  <si>
    <t>02-0006741</t>
  </si>
  <si>
    <t>6741</t>
  </si>
  <si>
    <t>UNI6 02-0006741</t>
  </si>
  <si>
    <t>02-0006750</t>
  </si>
  <si>
    <t>6750</t>
  </si>
  <si>
    <t>UNI6 02-0006750</t>
  </si>
  <si>
    <t>02-0006760</t>
  </si>
  <si>
    <t>6760</t>
  </si>
  <si>
    <t>UNI6 02-0006760</t>
  </si>
  <si>
    <t>1902075 02 86</t>
  </si>
  <si>
    <t>02-0006761</t>
  </si>
  <si>
    <t>6761</t>
  </si>
  <si>
    <t>UNI6 02-0006761</t>
  </si>
  <si>
    <t>02-0006772</t>
  </si>
  <si>
    <t>6772</t>
  </si>
  <si>
    <t>UNI6 02-0006772</t>
  </si>
  <si>
    <t>02-0006773</t>
  </si>
  <si>
    <t>6773</t>
  </si>
  <si>
    <t>UNI6 02-0006773</t>
  </si>
  <si>
    <t>02-0006774</t>
  </si>
  <si>
    <t>6774</t>
  </si>
  <si>
    <t>UNI6 02-0006774</t>
  </si>
  <si>
    <t>02-0006775</t>
  </si>
  <si>
    <t>6775</t>
  </si>
  <si>
    <t>UNI6 02-0006775</t>
  </si>
  <si>
    <t>02-0006776</t>
  </si>
  <si>
    <t>6776</t>
  </si>
  <si>
    <t>UNI6 02-0006776</t>
  </si>
  <si>
    <t>02-0006780</t>
  </si>
  <si>
    <t>6780</t>
  </si>
  <si>
    <t>UNI6 02-0006780</t>
  </si>
  <si>
    <t>02-0006781</t>
  </si>
  <si>
    <t>6781</t>
  </si>
  <si>
    <t>UNI6 02-0006781</t>
  </si>
  <si>
    <t>02-0006786</t>
  </si>
  <si>
    <t>6786</t>
  </si>
  <si>
    <t>UNI6 02-0006786</t>
  </si>
  <si>
    <t>02-0006787</t>
  </si>
  <si>
    <t>6787</t>
  </si>
  <si>
    <t>UNI6 02-0006787</t>
  </si>
  <si>
    <t>02-0006795</t>
  </si>
  <si>
    <t>6795</t>
  </si>
  <si>
    <t>UNI6 02-0006795</t>
  </si>
  <si>
    <t>1803263 02 86</t>
  </si>
  <si>
    <t>02-0006874</t>
  </si>
  <si>
    <t>6874</t>
  </si>
  <si>
    <t>REFLEXOR 02-0006874</t>
  </si>
  <si>
    <t>1809011 02 86</t>
  </si>
  <si>
    <t>FR 36-43  CM 23-28  UK 3,5-9</t>
  </si>
  <si>
    <t>02-0006903</t>
  </si>
  <si>
    <t>6903</t>
  </si>
  <si>
    <t>REFLEXOR 02-0006903</t>
  </si>
  <si>
    <t>1808995 02 86</t>
  </si>
  <si>
    <t>02-0007001</t>
  </si>
  <si>
    <t>7001</t>
  </si>
  <si>
    <t>1803546 02 86</t>
  </si>
  <si>
    <t>02-0007002</t>
  </si>
  <si>
    <t>7002</t>
  </si>
  <si>
    <t>02-0007008</t>
  </si>
  <si>
    <t>7008</t>
  </si>
  <si>
    <t>02-0007009</t>
  </si>
  <si>
    <t>7009</t>
  </si>
  <si>
    <t>02-0007020</t>
  </si>
  <si>
    <t>7020</t>
  </si>
  <si>
    <t>THE ORIGINAL 02-0007020</t>
  </si>
  <si>
    <t>02-0007021</t>
  </si>
  <si>
    <t>7021</t>
  </si>
  <si>
    <t>THE ORIGINAL 02-0007021</t>
  </si>
  <si>
    <t>02-0007030</t>
  </si>
  <si>
    <t>7030</t>
  </si>
  <si>
    <t>THE ORIGINAL 02-0007030</t>
  </si>
  <si>
    <t>02-0007031</t>
  </si>
  <si>
    <t>7031</t>
  </si>
  <si>
    <t>THE ORIGINAL 02-0007031</t>
  </si>
  <si>
    <t>02-0007050</t>
  </si>
  <si>
    <t>7050</t>
  </si>
  <si>
    <t>THE ORIGINAL 02-0007050</t>
  </si>
  <si>
    <t>02-0007080</t>
  </si>
  <si>
    <t>7080</t>
  </si>
  <si>
    <t>THE ORIGINAL 02-0007080</t>
  </si>
  <si>
    <t>02-0007081</t>
  </si>
  <si>
    <t>7081</t>
  </si>
  <si>
    <t>THE ORIGINAL 02-0007081</t>
  </si>
  <si>
    <t>02-0007090</t>
  </si>
  <si>
    <t>7090</t>
  </si>
  <si>
    <t>THE ORIGINAL 02-0007090</t>
  </si>
  <si>
    <t>02-0007091</t>
  </si>
  <si>
    <t>7091</t>
  </si>
  <si>
    <t>THE ORIGINAL 02-0007091</t>
  </si>
  <si>
    <t>02-0007201</t>
  </si>
  <si>
    <t>7201</t>
  </si>
  <si>
    <t>THE ORIGINAL 02-0007201</t>
  </si>
  <si>
    <t>02-0007208</t>
  </si>
  <si>
    <t>7208</t>
  </si>
  <si>
    <t>THE ORIGINAL 02-0007208</t>
  </si>
  <si>
    <t>02-0007209</t>
  </si>
  <si>
    <t>7209</t>
  </si>
  <si>
    <t>THE ORIGINAL 02-0007209</t>
  </si>
  <si>
    <t>02-0007310</t>
  </si>
  <si>
    <t>7310</t>
  </si>
  <si>
    <t>DYNAMIC 02-0007310</t>
  </si>
  <si>
    <t>DYNAMIC</t>
  </si>
  <si>
    <t>1805479 02 86</t>
  </si>
  <si>
    <t>02-0007312</t>
  </si>
  <si>
    <t>7312</t>
  </si>
  <si>
    <t>DYNAMIC 02-0007312</t>
  </si>
  <si>
    <t>02-0007313</t>
  </si>
  <si>
    <t>7313</t>
  </si>
  <si>
    <t>DYNAMIC 02-0007313</t>
  </si>
  <si>
    <t>02-0007315</t>
  </si>
  <si>
    <t>7315</t>
  </si>
  <si>
    <t>DYNAMIC 02-0007315</t>
  </si>
  <si>
    <t>02-0007320</t>
  </si>
  <si>
    <t>7320</t>
  </si>
  <si>
    <t>DYNAMIC 02-0007320</t>
  </si>
  <si>
    <t>02-0007326</t>
  </si>
  <si>
    <t>7326</t>
  </si>
  <si>
    <t>DYNAMIC 02-0007326</t>
  </si>
  <si>
    <t>02-0007327</t>
  </si>
  <si>
    <t>7327</t>
  </si>
  <si>
    <t>DYNAMIC 02-0007327</t>
  </si>
  <si>
    <t>02-0007328</t>
  </si>
  <si>
    <t>7328</t>
  </si>
  <si>
    <t>DYNAMIC 02-0007328</t>
  </si>
  <si>
    <t>02-0007329</t>
  </si>
  <si>
    <t>7329</t>
  </si>
  <si>
    <t>DYNAMIC 02-0007329</t>
  </si>
  <si>
    <t>02-0007331</t>
  </si>
  <si>
    <t>7331</t>
  </si>
  <si>
    <t>DYNAMIC 02-0007331</t>
  </si>
  <si>
    <t>02-0007332</t>
  </si>
  <si>
    <t>7332</t>
  </si>
  <si>
    <t>DYNAMIC 02-0007332</t>
  </si>
  <si>
    <t>02-0007335</t>
  </si>
  <si>
    <t>7335</t>
  </si>
  <si>
    <t>DYNAMIC 02-0007335</t>
  </si>
  <si>
    <t>02-0007341</t>
  </si>
  <si>
    <t>7341</t>
  </si>
  <si>
    <t>DYNAMIC 02-0007341</t>
  </si>
  <si>
    <t>02-0007342</t>
  </si>
  <si>
    <t>7342</t>
  </si>
  <si>
    <t>DYNAMIC 02-0007342</t>
  </si>
  <si>
    <t>02-0007345</t>
  </si>
  <si>
    <t>7345</t>
  </si>
  <si>
    <t>DYNAMIC 02-0007345</t>
  </si>
  <si>
    <t>02-0007351</t>
  </si>
  <si>
    <t>7351</t>
  </si>
  <si>
    <t>DYNAMIC 02-0007351</t>
  </si>
  <si>
    <t>2002210 02 86</t>
  </si>
  <si>
    <t>02-0007360</t>
  </si>
  <si>
    <t>7360</t>
  </si>
  <si>
    <t>DYNAMIC 02-0007360</t>
  </si>
  <si>
    <t>02-0007361</t>
  </si>
  <si>
    <t>7361</t>
  </si>
  <si>
    <t>DYNAMIC 02-0007361</t>
  </si>
  <si>
    <t>02-0007362</t>
  </si>
  <si>
    <t>7362</t>
  </si>
  <si>
    <t>DYNAMIC 02-0007362</t>
  </si>
  <si>
    <t>02-0007363</t>
  </si>
  <si>
    <t>7363</t>
  </si>
  <si>
    <t>DYNAMIC 02-0007363</t>
  </si>
  <si>
    <t>02-0007365</t>
  </si>
  <si>
    <t>7365</t>
  </si>
  <si>
    <t>DYNAMIC 02-0007365</t>
  </si>
  <si>
    <t>02-0007366</t>
  </si>
  <si>
    <t>7366</t>
  </si>
  <si>
    <t>DYNAMIC 02-0007366</t>
  </si>
  <si>
    <t>02-0007367</t>
  </si>
  <si>
    <t>7367</t>
  </si>
  <si>
    <t>DYNAMIC 02-0007367</t>
  </si>
  <si>
    <t>02-0007368</t>
  </si>
  <si>
    <t>7368</t>
  </si>
  <si>
    <t>DYNAMIC 02-0007368</t>
  </si>
  <si>
    <t>02-0007369</t>
  </si>
  <si>
    <t>7369</t>
  </si>
  <si>
    <t>DYNAMIC 02-0007369</t>
  </si>
  <si>
    <t>02-0007370</t>
  </si>
  <si>
    <t>7370</t>
  </si>
  <si>
    <t>2103607 02 86</t>
  </si>
  <si>
    <t>02-0007374</t>
  </si>
  <si>
    <t>7374</t>
  </si>
  <si>
    <t>02-0007375</t>
  </si>
  <si>
    <t>7375</t>
  </si>
  <si>
    <t>02-0007376</t>
  </si>
  <si>
    <t>7376</t>
  </si>
  <si>
    <t>02-0007401</t>
  </si>
  <si>
    <t>7401</t>
  </si>
  <si>
    <t>SERVICE 02-0007401</t>
  </si>
  <si>
    <t>02-0007521</t>
  </si>
  <si>
    <t>7521</t>
  </si>
  <si>
    <t>THE ORIGINAL PLUS 02-0007521</t>
  </si>
  <si>
    <t>THE ORIGINAL PLUS</t>
  </si>
  <si>
    <t>1807056 02 86</t>
  </si>
  <si>
    <t>02-0007531</t>
  </si>
  <si>
    <t>7531</t>
  </si>
  <si>
    <t>THE ORIGINAL PLUS 02-0007531</t>
  </si>
  <si>
    <t>02-0007620</t>
  </si>
  <si>
    <t>7620</t>
  </si>
  <si>
    <t>EASY 02-0007620</t>
  </si>
  <si>
    <t>EASY</t>
  </si>
  <si>
    <t>1805558 02 86</t>
  </si>
  <si>
    <t>02-0007621</t>
  </si>
  <si>
    <t>7621</t>
  </si>
  <si>
    <t>EASY 02-0007621</t>
  </si>
  <si>
    <t>02-0007622</t>
  </si>
  <si>
    <t>7622</t>
  </si>
  <si>
    <t>EASY 02-0007622</t>
  </si>
  <si>
    <t>02-0007623</t>
  </si>
  <si>
    <t>7623</t>
  </si>
  <si>
    <t>EASY 02-0007623</t>
  </si>
  <si>
    <t>02-0007630</t>
  </si>
  <si>
    <t>7630</t>
  </si>
  <si>
    <t>EASY 02-0007630</t>
  </si>
  <si>
    <t>02-0007631</t>
  </si>
  <si>
    <t>7631</t>
  </si>
  <si>
    <t>EASY 02-0007631</t>
  </si>
  <si>
    <t>02-0008040</t>
  </si>
  <si>
    <t>8040</t>
  </si>
  <si>
    <t>NATURE 02-0008040</t>
  </si>
  <si>
    <t>02-0008045</t>
  </si>
  <si>
    <t>8045</t>
  </si>
  <si>
    <t>NATURE 02-0008045</t>
  </si>
  <si>
    <t>02-0008087</t>
  </si>
  <si>
    <t>8087</t>
  </si>
  <si>
    <t>NATURE 02-0008087</t>
  </si>
  <si>
    <t>02-0008088</t>
  </si>
  <si>
    <t>8088</t>
  </si>
  <si>
    <t>NATURE 02-0008088</t>
  </si>
  <si>
    <t>02-0008210</t>
  </si>
  <si>
    <t>8210</t>
  </si>
  <si>
    <t>ARROW 02-0008210</t>
  </si>
  <si>
    <t>ARROW</t>
  </si>
  <si>
    <t>2102063 02 86</t>
  </si>
  <si>
    <t>02-0008310</t>
  </si>
  <si>
    <t>8310</t>
  </si>
  <si>
    <t>ARROW 02-0008310</t>
  </si>
  <si>
    <t>1805106 02 86</t>
  </si>
  <si>
    <t>02-0008320</t>
  </si>
  <si>
    <t>8320</t>
  </si>
  <si>
    <t>ARROW 02-0008320</t>
  </si>
  <si>
    <t>02-0008400</t>
  </si>
  <si>
    <t>8400</t>
  </si>
  <si>
    <t>ARROW 02-0008400</t>
  </si>
  <si>
    <t>02-0009100</t>
  </si>
  <si>
    <t>9100</t>
  </si>
  <si>
    <t>1801896 02 86</t>
  </si>
  <si>
    <t>02-0009110</t>
  </si>
  <si>
    <t>9110</t>
  </si>
  <si>
    <t>02-0009150</t>
  </si>
  <si>
    <t>9150</t>
  </si>
  <si>
    <t>02-0009200</t>
  </si>
  <si>
    <t>9200</t>
  </si>
  <si>
    <t>02-0009250</t>
  </si>
  <si>
    <t>9250</t>
  </si>
  <si>
    <t>02-0009252</t>
  </si>
  <si>
    <t>9252</t>
  </si>
  <si>
    <t>02-0009300</t>
  </si>
  <si>
    <t>9300</t>
  </si>
  <si>
    <t>02-0009310</t>
  </si>
  <si>
    <t>9310</t>
  </si>
  <si>
    <t>02-0009600</t>
  </si>
  <si>
    <t>9600</t>
  </si>
  <si>
    <t>AUTOCLAV 02-0009600</t>
  </si>
  <si>
    <t>AUTOCLAV</t>
  </si>
  <si>
    <t>F-271-02282-19</t>
  </si>
  <si>
    <t>35/36-45/46</t>
  </si>
  <si>
    <t>02-0009610</t>
  </si>
  <si>
    <t>9610</t>
  </si>
  <si>
    <t>AUTOCLAV 02-0009610</t>
  </si>
  <si>
    <t>02-0009620</t>
  </si>
  <si>
    <t>9620</t>
  </si>
  <si>
    <t>AUTOCLAV 02-0009620</t>
  </si>
  <si>
    <t>02-0009630</t>
  </si>
  <si>
    <t>9630</t>
  </si>
  <si>
    <t>AUTOCLAV 02-0009630</t>
  </si>
  <si>
    <t>02-0010019</t>
  </si>
  <si>
    <t>010-019</t>
  </si>
  <si>
    <t>ACTIVE 02-0010019</t>
  </si>
  <si>
    <t>ACTIVE</t>
  </si>
  <si>
    <t>19/2022/PPE/1439/B edition 1</t>
  </si>
  <si>
    <t>02-0010020</t>
  </si>
  <si>
    <t>010-020</t>
  </si>
  <si>
    <t>ACTIVE 02-0010020</t>
  </si>
  <si>
    <t>02-0010810</t>
  </si>
  <si>
    <t>10810</t>
  </si>
  <si>
    <t>BRAZIL 02-0010810</t>
  </si>
  <si>
    <t>02-0010856</t>
  </si>
  <si>
    <t>010-856</t>
  </si>
  <si>
    <t>FOOD TRAX 02-0010856</t>
  </si>
  <si>
    <t>FOOD TRAX</t>
  </si>
  <si>
    <t>11/2022/PPE/1439/B edition 1</t>
  </si>
  <si>
    <t>02-0010857</t>
  </si>
  <si>
    <t>010-857</t>
  </si>
  <si>
    <t>FOOD TRAX 02-0010857</t>
  </si>
  <si>
    <t>02-0010858</t>
  </si>
  <si>
    <t>010-858</t>
  </si>
  <si>
    <t>FOOD TRAX 02-0010858</t>
  </si>
  <si>
    <t>02-0010859</t>
  </si>
  <si>
    <t>010-859</t>
  </si>
  <si>
    <t>FOOD TRAX 02-0010859</t>
  </si>
  <si>
    <t>02-0010860</t>
  </si>
  <si>
    <t>010-860</t>
  </si>
  <si>
    <t>FOOD TRAX 02-0010860</t>
  </si>
  <si>
    <t>02-0010861</t>
  </si>
  <si>
    <t>010-861</t>
  </si>
  <si>
    <t>FOOD TRAX 02-0010861</t>
  </si>
  <si>
    <t>02-0010865</t>
  </si>
  <si>
    <t>010-865</t>
  </si>
  <si>
    <t>FOOD TRAX 02-0010865</t>
  </si>
  <si>
    <t>FOOD TRAX thinsulate</t>
  </si>
  <si>
    <t>02-0010866</t>
  </si>
  <si>
    <t>010-866</t>
  </si>
  <si>
    <t>FOOD TRAX 02-0010866</t>
  </si>
  <si>
    <t>02-0010874</t>
  </si>
  <si>
    <t>010-874</t>
  </si>
  <si>
    <t>FOOD TRAX 02-0010874</t>
  </si>
  <si>
    <t>02-0012018</t>
  </si>
  <si>
    <t>012-018</t>
  </si>
  <si>
    <t>ACTIVE 02-0012018</t>
  </si>
  <si>
    <t>02-0012020</t>
  </si>
  <si>
    <t>012-020</t>
  </si>
  <si>
    <t>ACTIVE 02-0012020</t>
  </si>
  <si>
    <t>02-0012856</t>
  </si>
  <si>
    <t>012-856</t>
  </si>
  <si>
    <t>FOOD TRAX 02-0012856</t>
  </si>
  <si>
    <t>02-0012857</t>
  </si>
  <si>
    <t>012-857</t>
  </si>
  <si>
    <t>FOOD TRAX 02-0012857</t>
  </si>
  <si>
    <t>02-0012858</t>
  </si>
  <si>
    <t>012-858</t>
  </si>
  <si>
    <t>FOOD TRAX 02-0012858</t>
  </si>
  <si>
    <t>02-0012859</t>
  </si>
  <si>
    <t>012-859</t>
  </si>
  <si>
    <t>FOOD TRAX 02-0012859</t>
  </si>
  <si>
    <t>02-0012860</t>
  </si>
  <si>
    <t>012-860</t>
  </si>
  <si>
    <t>FOOD TRAX 02-0012860</t>
  </si>
  <si>
    <t>02-0012861</t>
  </si>
  <si>
    <t>012-861</t>
  </si>
  <si>
    <t>FOOD TRAX 02-0012861</t>
  </si>
  <si>
    <t>02-0012865</t>
  </si>
  <si>
    <t>012-865</t>
  </si>
  <si>
    <t>FOOD TRAX 02-0012865</t>
  </si>
  <si>
    <t>02-0012866</t>
  </si>
  <si>
    <t>012-866</t>
  </si>
  <si>
    <t>FOOD TRAX 02-0012866</t>
  </si>
  <si>
    <t>02-0012874</t>
  </si>
  <si>
    <t>012-874</t>
  </si>
  <si>
    <t>FOOD TRAX 02-0012874</t>
  </si>
  <si>
    <t>02-0014018</t>
  </si>
  <si>
    <t>014-018</t>
  </si>
  <si>
    <t>ACTIVE 02-0014018</t>
  </si>
  <si>
    <t>02-0020810</t>
  </si>
  <si>
    <t>20810</t>
  </si>
  <si>
    <t>BRAZIL 02-0020810</t>
  </si>
  <si>
    <t>FR 35-46  CM 22,5-30  UK 3-11,5</t>
  </si>
  <si>
    <t>02-0024018</t>
  </si>
  <si>
    <t>024-018</t>
  </si>
  <si>
    <t>ACTIVE 02-0024018</t>
  </si>
  <si>
    <t>02-0024020</t>
  </si>
  <si>
    <t>024-020</t>
  </si>
  <si>
    <t>ACTIVE 02-0024020</t>
  </si>
  <si>
    <t>02-0031000</t>
  </si>
  <si>
    <t>31000</t>
  </si>
  <si>
    <t>CLASSIC 02-0031000</t>
  </si>
  <si>
    <t>02-0031010</t>
  </si>
  <si>
    <t>31010</t>
  </si>
  <si>
    <t>CLASSIC 02-0031010</t>
  </si>
  <si>
    <t>02-0031362</t>
  </si>
  <si>
    <t>31362</t>
  </si>
  <si>
    <t>STATIC CONTROL 02-0031362</t>
  </si>
  <si>
    <t>2008600 02 86</t>
  </si>
  <si>
    <t>02-0031392</t>
  </si>
  <si>
    <t>31392</t>
  </si>
  <si>
    <t>STATIC CONTROL 02-0031392</t>
  </si>
  <si>
    <t>02-0031628</t>
  </si>
  <si>
    <t>31628</t>
  </si>
  <si>
    <t>UNI6 02-0031628</t>
  </si>
  <si>
    <t>02-0031721</t>
  </si>
  <si>
    <t>31721</t>
  </si>
  <si>
    <t>UNI6 02-0031721</t>
  </si>
  <si>
    <t>1803834 02 86</t>
  </si>
  <si>
    <t>02-0031740</t>
  </si>
  <si>
    <t>31740</t>
  </si>
  <si>
    <t>UNI6 02-0031740</t>
  </si>
  <si>
    <t>02-0031741</t>
  </si>
  <si>
    <t>31741</t>
  </si>
  <si>
    <t>UNI6 02-0031741</t>
  </si>
  <si>
    <t>02-0031760</t>
  </si>
  <si>
    <t>31760</t>
  </si>
  <si>
    <t>UNI6 02-0031760</t>
  </si>
  <si>
    <t>02-0031761</t>
  </si>
  <si>
    <t>31761</t>
  </si>
  <si>
    <t>UNI6 02-0031761</t>
  </si>
  <si>
    <t>02-0031762</t>
  </si>
  <si>
    <t>31762</t>
  </si>
  <si>
    <t>UNI6 02-0031762</t>
  </si>
  <si>
    <t>02-0031763</t>
  </si>
  <si>
    <t>31763</t>
  </si>
  <si>
    <t>UNI6 02-0031763</t>
  </si>
  <si>
    <t>02-0031765</t>
  </si>
  <si>
    <t>31765</t>
  </si>
  <si>
    <t>UNI6 02-0031765</t>
  </si>
  <si>
    <t>02-0031772</t>
  </si>
  <si>
    <t>31772</t>
  </si>
  <si>
    <t>UNI6 02-0031772</t>
  </si>
  <si>
    <t>02-0031773</t>
  </si>
  <si>
    <t>31773</t>
  </si>
  <si>
    <t>UNI6 02-0031773</t>
  </si>
  <si>
    <t>02-0031775</t>
  </si>
  <si>
    <t>31775</t>
  </si>
  <si>
    <t>UNI6 02-0031775</t>
  </si>
  <si>
    <t>02-0031780</t>
  </si>
  <si>
    <t>31780</t>
  </si>
  <si>
    <t>UNI6 02-0031780</t>
  </si>
  <si>
    <t>02-0031795</t>
  </si>
  <si>
    <t>31795</t>
  </si>
  <si>
    <t>UNI6 02-0031795</t>
  </si>
  <si>
    <t>02-0032120</t>
  </si>
  <si>
    <t>32120</t>
  </si>
  <si>
    <t>ANATOM 02-0032120</t>
  </si>
  <si>
    <t>02-0032125</t>
  </si>
  <si>
    <t>32125</t>
  </si>
  <si>
    <t>ANATOM 02-0032125</t>
  </si>
  <si>
    <t>02-0032130</t>
  </si>
  <si>
    <t>32130</t>
  </si>
  <si>
    <t>ANATOM 02-0032130</t>
  </si>
  <si>
    <t>02-0032131</t>
  </si>
  <si>
    <t>32131</t>
  </si>
  <si>
    <t>ANATOM 02-0032131</t>
  </si>
  <si>
    <t>02-0032135</t>
  </si>
  <si>
    <t>32135</t>
  </si>
  <si>
    <t>ANATOM 02-0032135</t>
  </si>
  <si>
    <t>02-0032136</t>
  </si>
  <si>
    <t>32136</t>
  </si>
  <si>
    <t>ANATOM 02-0032136</t>
  </si>
  <si>
    <t>02-0032140</t>
  </si>
  <si>
    <t>32140</t>
  </si>
  <si>
    <t>ANATOM 02-0032140</t>
  </si>
  <si>
    <t>02-0032147</t>
  </si>
  <si>
    <t>32147</t>
  </si>
  <si>
    <t>ANATOM 02-0032147</t>
  </si>
  <si>
    <t>02-0032156</t>
  </si>
  <si>
    <t>32156</t>
  </si>
  <si>
    <t>ANATOM 02-0032156</t>
  </si>
  <si>
    <t>02-0032171</t>
  </si>
  <si>
    <t>32171</t>
  </si>
  <si>
    <t>ANATOM 02-0032171</t>
  </si>
  <si>
    <t>02-0032172</t>
  </si>
  <si>
    <t>32172</t>
  </si>
  <si>
    <t>ANATOM 02-0032172</t>
  </si>
  <si>
    <t>02-0032189</t>
  </si>
  <si>
    <t>32189</t>
  </si>
  <si>
    <t>ANATOM 02-0032189</t>
  </si>
  <si>
    <t>02-0032243</t>
  </si>
  <si>
    <t>32243</t>
  </si>
  <si>
    <t>ANATOM 02-0032243</t>
  </si>
  <si>
    <t>02-0032247</t>
  </si>
  <si>
    <t>32247</t>
  </si>
  <si>
    <t>ANATOM 02-0032247</t>
  </si>
  <si>
    <t>02-0032256</t>
  </si>
  <si>
    <t>32256</t>
  </si>
  <si>
    <t>ANATOM 02-0032256</t>
  </si>
  <si>
    <t>02-0032268</t>
  </si>
  <si>
    <t>32268</t>
  </si>
  <si>
    <t>ANATOM 02-0032268</t>
  </si>
  <si>
    <t>02-0032270</t>
  </si>
  <si>
    <t>32270</t>
  </si>
  <si>
    <t>ANATOM 02-0032270</t>
  </si>
  <si>
    <t>02-0032289</t>
  </si>
  <si>
    <t>32289</t>
  </si>
  <si>
    <t>ANATOM 02-0032289</t>
  </si>
  <si>
    <t>02-0032300</t>
  </si>
  <si>
    <t>32300</t>
  </si>
  <si>
    <t>AIR CUSHION 02-0032300</t>
  </si>
  <si>
    <t>02-0032310</t>
  </si>
  <si>
    <t>32310</t>
  </si>
  <si>
    <t>AIR CUSHION 02-0032310</t>
  </si>
  <si>
    <t>02-0032370</t>
  </si>
  <si>
    <t>32370</t>
  </si>
  <si>
    <t>AIR CUSHION 02-0032370</t>
  </si>
  <si>
    <t>02-0032430</t>
  </si>
  <si>
    <t>32430</t>
  </si>
  <si>
    <t>BUSINESS MAN 02-0032430</t>
  </si>
  <si>
    <t>BUSINESS MAN</t>
  </si>
  <si>
    <t>1809947 02 86</t>
  </si>
  <si>
    <t>FR 40-47  CM 26-30,5  UK 6,5-12</t>
  </si>
  <si>
    <t>02-0032450</t>
  </si>
  <si>
    <t>32450</t>
  </si>
  <si>
    <t>BUSINESS MAN 02-0032450</t>
  </si>
  <si>
    <t>02-0032610</t>
  </si>
  <si>
    <t>32610</t>
  </si>
  <si>
    <t>AIR CUSHION 02-0032610</t>
  </si>
  <si>
    <t>02-0032700</t>
  </si>
  <si>
    <t>32700</t>
  </si>
  <si>
    <t>AIR CUSHION 02-0032700</t>
  </si>
  <si>
    <t>02-0033230</t>
  </si>
  <si>
    <t>33230</t>
  </si>
  <si>
    <t>BUSINESS MAN 02-0033230</t>
  </si>
  <si>
    <t>1809957 02 86</t>
  </si>
  <si>
    <t>02-0033240</t>
  </si>
  <si>
    <t>33240</t>
  </si>
  <si>
    <t>BUSINESS MAN 02-0033240</t>
  </si>
  <si>
    <t>02-0035600</t>
  </si>
  <si>
    <t>35600</t>
  </si>
  <si>
    <t>ARROW 02-0035600</t>
  </si>
  <si>
    <t>02-0035710</t>
  </si>
  <si>
    <t>35710</t>
  </si>
  <si>
    <t>REFLEXOR 02-0035710</t>
  </si>
  <si>
    <t>02-0036721</t>
  </si>
  <si>
    <t>36721</t>
  </si>
  <si>
    <t>UNI6 02-0036721</t>
  </si>
  <si>
    <t>1802039 02 86</t>
  </si>
  <si>
    <t>02-0036728</t>
  </si>
  <si>
    <t>36728</t>
  </si>
  <si>
    <t>UNI6 02-0036728</t>
  </si>
  <si>
    <t>02-0036729</t>
  </si>
  <si>
    <t>36729</t>
  </si>
  <si>
    <t>UNI6 02-0036729</t>
  </si>
  <si>
    <t>02-0036740</t>
  </si>
  <si>
    <t>36740</t>
  </si>
  <si>
    <t>UNI6 02-0036740</t>
  </si>
  <si>
    <t>02-0036761</t>
  </si>
  <si>
    <t>36761</t>
  </si>
  <si>
    <t>UNI6 02-0036761</t>
  </si>
  <si>
    <t>02-0036763</t>
  </si>
  <si>
    <t>36763</t>
  </si>
  <si>
    <t>UNI6 02-0036763</t>
  </si>
  <si>
    <t>02-0036772</t>
  </si>
  <si>
    <t>36772</t>
  </si>
  <si>
    <t>UNI6 02-0036772</t>
  </si>
  <si>
    <t>02-0036773</t>
  </si>
  <si>
    <t>36773</t>
  </si>
  <si>
    <t>UNI6 02-0036773</t>
  </si>
  <si>
    <t>02-0036775</t>
  </si>
  <si>
    <t>36775</t>
  </si>
  <si>
    <t>UNI6 02-0036775</t>
  </si>
  <si>
    <t>02-0036796</t>
  </si>
  <si>
    <t>36796</t>
  </si>
  <si>
    <t>UNI6 02-0036796</t>
  </si>
  <si>
    <t>02-0036813</t>
  </si>
  <si>
    <t>36813</t>
  </si>
  <si>
    <t>REFLEXOR COMFORT 02-0036813</t>
  </si>
  <si>
    <t>REFLEXOR COMFORT</t>
  </si>
  <si>
    <t>02-0036819</t>
  </si>
  <si>
    <t>36819</t>
  </si>
  <si>
    <t>REFLEXOR COMFORT 02-0036819</t>
  </si>
  <si>
    <t>02-0036872</t>
  </si>
  <si>
    <t>36872</t>
  </si>
  <si>
    <t>REFLEXOR 02-0036872</t>
  </si>
  <si>
    <t>02-0036902</t>
  </si>
  <si>
    <t>36902</t>
  </si>
  <si>
    <t>REFLEXOR 02-0036902</t>
  </si>
  <si>
    <t>02-0036912</t>
  </si>
  <si>
    <t>36912</t>
  </si>
  <si>
    <t>REFLEXOR 02-0036912</t>
  </si>
  <si>
    <t>02-0037310</t>
  </si>
  <si>
    <t>37310</t>
  </si>
  <si>
    <t>DYNAMIC 02-0037310</t>
  </si>
  <si>
    <t>02-0037312</t>
  </si>
  <si>
    <t>37312</t>
  </si>
  <si>
    <t>DYNAMIC 02-0037312</t>
  </si>
  <si>
    <t>02-0037313</t>
  </si>
  <si>
    <t>37313</t>
  </si>
  <si>
    <t>DYNAMIC 02-0037313</t>
  </si>
  <si>
    <t>02-0037315</t>
  </si>
  <si>
    <t>37315</t>
  </si>
  <si>
    <t>DYNAMIC 02-0037315</t>
  </si>
  <si>
    <t>02-0037320</t>
  </si>
  <si>
    <t>37320</t>
  </si>
  <si>
    <t>DYNAMIC 02-0037320</t>
  </si>
  <si>
    <t>02-0037328</t>
  </si>
  <si>
    <t>37328</t>
  </si>
  <si>
    <t>DYNAMIC 02-0037328</t>
  </si>
  <si>
    <t>02-0037329</t>
  </si>
  <si>
    <t>37329</t>
  </si>
  <si>
    <t>DYNAMIC 02-0037329</t>
  </si>
  <si>
    <t>02-0037331</t>
  </si>
  <si>
    <t>37331</t>
  </si>
  <si>
    <t>DYNAMIC 02-0037331</t>
  </si>
  <si>
    <t>02-0037333</t>
  </si>
  <si>
    <t>37333</t>
  </si>
  <si>
    <t>DYNAMIC 02-0037333</t>
  </si>
  <si>
    <t>02-0037335</t>
  </si>
  <si>
    <t>37335</t>
  </si>
  <si>
    <t>DYNAMIC 02-0037335</t>
  </si>
  <si>
    <t>02-0037341</t>
  </si>
  <si>
    <t>37341</t>
  </si>
  <si>
    <t>DYNAMIC 02-0037341</t>
  </si>
  <si>
    <t>02-0037343</t>
  </si>
  <si>
    <t>37343</t>
  </si>
  <si>
    <t>DYNAMIC 02-0037343</t>
  </si>
  <si>
    <t>02-0037360</t>
  </si>
  <si>
    <t>37360</t>
  </si>
  <si>
    <t>DYNAMIC 02-0037360</t>
  </si>
  <si>
    <t>02-0037369</t>
  </si>
  <si>
    <t>37369</t>
  </si>
  <si>
    <t>DYNAMIC 02-0037369</t>
  </si>
  <si>
    <t>02-0037520</t>
  </si>
  <si>
    <t>37520</t>
  </si>
  <si>
    <t>THE ORIGINAL PLUS 02-0037520</t>
  </si>
  <si>
    <t>02-0037530</t>
  </si>
  <si>
    <t>37530</t>
  </si>
  <si>
    <t>THE ORIGINAL PLUS 02-0037530</t>
  </si>
  <si>
    <t>02-0037622</t>
  </si>
  <si>
    <t>37622</t>
  </si>
  <si>
    <t>EASY 02-0037622</t>
  </si>
  <si>
    <t>02-0037630</t>
  </si>
  <si>
    <t>37630</t>
  </si>
  <si>
    <t>EASY 02-0037630</t>
  </si>
  <si>
    <t>02-0037631</t>
  </si>
  <si>
    <t>37631</t>
  </si>
  <si>
    <t>EASY 02-0037631</t>
  </si>
  <si>
    <t>02-0038200</t>
  </si>
  <si>
    <t>38200</t>
  </si>
  <si>
    <t>ARROW 02-0038200</t>
  </si>
  <si>
    <t>02-0038210</t>
  </si>
  <si>
    <t>38210</t>
  </si>
  <si>
    <t>ARROW 02-0038210</t>
  </si>
  <si>
    <t>02-0038300</t>
  </si>
  <si>
    <t>38300</t>
  </si>
  <si>
    <t>ARROW 02-0038300</t>
  </si>
  <si>
    <t>02-0038330</t>
  </si>
  <si>
    <t>38330</t>
  </si>
  <si>
    <t>ARROW 02-0038330</t>
  </si>
  <si>
    <t>02-0038600</t>
  </si>
  <si>
    <t>38600</t>
  </si>
  <si>
    <t>ARROW 02-0038600</t>
  </si>
  <si>
    <t>02-0039630</t>
  </si>
  <si>
    <t>39630</t>
  </si>
  <si>
    <t>AUTOCLAV 02-0039630</t>
  </si>
  <si>
    <t>02-0045018</t>
  </si>
  <si>
    <t>045-018</t>
  </si>
  <si>
    <t>ACTIVE 02-0045018</t>
  </si>
  <si>
    <t>02-0077020</t>
  </si>
  <si>
    <t>77020</t>
  </si>
  <si>
    <t>THE ORIGINAL 02-0077020</t>
  </si>
  <si>
    <t>1901971 02 86</t>
  </si>
  <si>
    <t>02-0077021</t>
  </si>
  <si>
    <t>77021</t>
  </si>
  <si>
    <t>THE ORIGINAL 02-0077021</t>
  </si>
  <si>
    <t>02-0077022</t>
  </si>
  <si>
    <t>77022</t>
  </si>
  <si>
    <t>THE ORIGINAL 02-0077022</t>
  </si>
  <si>
    <t>02-0077023</t>
  </si>
  <si>
    <t>77023</t>
  </si>
  <si>
    <t>THE ORIGINAL 02-0077023</t>
  </si>
  <si>
    <t>02-0077024</t>
  </si>
  <si>
    <t>77024</t>
  </si>
  <si>
    <t>THE ORIGINAL 02-0077024</t>
  </si>
  <si>
    <t>02-0077030</t>
  </si>
  <si>
    <t>77030</t>
  </si>
  <si>
    <t>THE ORIGINAL 02-0077030</t>
  </si>
  <si>
    <t>02-0077031</t>
  </si>
  <si>
    <t>77031</t>
  </si>
  <si>
    <t>THE ORIGINAL 02-0077031</t>
  </si>
  <si>
    <t>02-0077032</t>
  </si>
  <si>
    <t>77032</t>
  </si>
  <si>
    <t>THE ORIGINAL 02-0077032</t>
  </si>
  <si>
    <t>02-0085080</t>
  </si>
  <si>
    <t>085-080</t>
  </si>
  <si>
    <t>ACTIVE 02-0085080</t>
  </si>
  <si>
    <t>02-0085081</t>
  </si>
  <si>
    <t>085-081</t>
  </si>
  <si>
    <t>ACTIVE 02-0085081</t>
  </si>
  <si>
    <t>02-0087020</t>
  </si>
  <si>
    <t>087-020</t>
  </si>
  <si>
    <t>ACTIVE 02-0087020</t>
  </si>
  <si>
    <t>02-0087021</t>
  </si>
  <si>
    <t>087-021</t>
  </si>
  <si>
    <t>ACTIVE 02-0087021</t>
  </si>
  <si>
    <t>02-0087030</t>
  </si>
  <si>
    <t>087-030</t>
  </si>
  <si>
    <t>ACTIVE 02-0087030</t>
  </si>
  <si>
    <t>02-0087031</t>
  </si>
  <si>
    <t>087-031</t>
  </si>
  <si>
    <t>ACTIVE 02-0087031</t>
  </si>
  <si>
    <t>02-0087050</t>
  </si>
  <si>
    <t>087-050</t>
  </si>
  <si>
    <t>ACTIVE 02-0087050</t>
  </si>
  <si>
    <t>02-0087080</t>
  </si>
  <si>
    <t>087-080</t>
  </si>
  <si>
    <t>ACTIVE 02-0087080</t>
  </si>
  <si>
    <t>02-0087081</t>
  </si>
  <si>
    <t>087-081</t>
  </si>
  <si>
    <t>ACTIVE 02-0087081</t>
  </si>
  <si>
    <t>02-0087208</t>
  </si>
  <si>
    <t>087-208</t>
  </si>
  <si>
    <t>ACTIVE 02-0087208</t>
  </si>
  <si>
    <t>02-0087209</t>
  </si>
  <si>
    <t>087-209</t>
  </si>
  <si>
    <t>ACTIVE 02-0087209</t>
  </si>
  <si>
    <t>02-0300119</t>
  </si>
  <si>
    <t>300119</t>
  </si>
  <si>
    <t>SERVICE 02-0300119</t>
  </si>
  <si>
    <t>2101291 02 86</t>
  </si>
  <si>
    <t>02-0300219</t>
  </si>
  <si>
    <t>300219</t>
  </si>
  <si>
    <t>SERVICE 02-0300219</t>
  </si>
  <si>
    <t>02-0711026</t>
  </si>
  <si>
    <t>711026</t>
  </si>
  <si>
    <t>X-LIGHT 02-0711026</t>
  </si>
  <si>
    <t>X-LIGHT</t>
  </si>
  <si>
    <t>2105103 02 86</t>
  </si>
  <si>
    <t>02-0711027</t>
  </si>
  <si>
    <t>711027</t>
  </si>
  <si>
    <t>X-LIGHT 02-0711027</t>
  </si>
  <si>
    <t>2000176 02 86</t>
  </si>
  <si>
    <t>02-0711028</t>
  </si>
  <si>
    <t>711028</t>
  </si>
  <si>
    <t>X-LIGHT 02-0711028</t>
  </si>
  <si>
    <t>02-0711029</t>
  </si>
  <si>
    <t>711029</t>
  </si>
  <si>
    <t>X-LIGHT 02-0711029</t>
  </si>
  <si>
    <t>02-0711030</t>
  </si>
  <si>
    <t>711030</t>
  </si>
  <si>
    <t>X-LIGHT 02-0711030</t>
  </si>
  <si>
    <t>2105089 02 86</t>
  </si>
  <si>
    <t>02-0711031</t>
  </si>
  <si>
    <t>711031</t>
  </si>
  <si>
    <t>X-LIGHT 02-0711031</t>
  </si>
  <si>
    <t>2105102 02 86</t>
  </si>
  <si>
    <t>02-0711032</t>
  </si>
  <si>
    <t>711032</t>
  </si>
  <si>
    <t>X-LIGHT 02-0711032</t>
  </si>
  <si>
    <t>02-0711033</t>
  </si>
  <si>
    <t>711033</t>
  </si>
  <si>
    <t>X-LIGHT 02-0711033</t>
  </si>
  <si>
    <t>02-0711035</t>
  </si>
  <si>
    <t>711035</t>
  </si>
  <si>
    <t>X-LIGHT 02-0711035</t>
  </si>
  <si>
    <t>02-0711036</t>
  </si>
  <si>
    <t>711036</t>
  </si>
  <si>
    <t>X-LIGHT 02-0711036</t>
  </si>
  <si>
    <t>02-0711037</t>
  </si>
  <si>
    <t>711037</t>
  </si>
  <si>
    <t>X-LIGHT 02-0711037</t>
  </si>
  <si>
    <t>02-0711038</t>
  </si>
  <si>
    <t>711038</t>
  </si>
  <si>
    <t>X-LIGHT 02-0711038</t>
  </si>
  <si>
    <t>02-0711041</t>
  </si>
  <si>
    <t>711041</t>
  </si>
  <si>
    <t>X-LIGHT 02-0711041</t>
  </si>
  <si>
    <t>02-0711042</t>
  </si>
  <si>
    <t>711042</t>
  </si>
  <si>
    <t>X-LIGHT 02-0711042</t>
  </si>
  <si>
    <t>02-0711046</t>
  </si>
  <si>
    <t>711046</t>
  </si>
  <si>
    <t>X-LIGHT 02-0711046</t>
  </si>
  <si>
    <t>02-0711047</t>
  </si>
  <si>
    <t>711047</t>
  </si>
  <si>
    <t>X-LIGHT 02-0711047</t>
  </si>
  <si>
    <t>02-0711100</t>
  </si>
  <si>
    <t>711100</t>
  </si>
  <si>
    <t>X-LIGHT 02-0711100</t>
  </si>
  <si>
    <t>2008066 02 86</t>
  </si>
  <si>
    <t>02-0711101</t>
  </si>
  <si>
    <t>711101</t>
  </si>
  <si>
    <t>X-LIGHT 02-0711101</t>
  </si>
  <si>
    <t>02-0711124</t>
  </si>
  <si>
    <t>711124</t>
  </si>
  <si>
    <t>X-LIGHT 02-0711124</t>
  </si>
  <si>
    <t>02-0711126</t>
  </si>
  <si>
    <t>711126</t>
  </si>
  <si>
    <t>X-LIGHT 02-0711126</t>
  </si>
  <si>
    <t>02-0711127</t>
  </si>
  <si>
    <t>711127</t>
  </si>
  <si>
    <t>X-LIGHT 02-0711127</t>
  </si>
  <si>
    <t>02-0711128</t>
  </si>
  <si>
    <t>711128</t>
  </si>
  <si>
    <t>X-LIGHT 02-0711128</t>
  </si>
  <si>
    <t>02-0711129</t>
  </si>
  <si>
    <t>711129</t>
  </si>
  <si>
    <t>X-LIGHT 02-0711129</t>
  </si>
  <si>
    <t>02-0711130</t>
  </si>
  <si>
    <t>711130</t>
  </si>
  <si>
    <t>X-LIGHT 02-0711130</t>
  </si>
  <si>
    <t>2008071 02 86</t>
  </si>
  <si>
    <t>02-0711131</t>
  </si>
  <si>
    <t>711131</t>
  </si>
  <si>
    <t>X-LIGHT 02-0711131</t>
  </si>
  <si>
    <t>2102015 02 86</t>
  </si>
  <si>
    <t>02-0711132</t>
  </si>
  <si>
    <t>711132</t>
  </si>
  <si>
    <t>X-LIGHT 02-0711132</t>
  </si>
  <si>
    <t>02-0711133</t>
  </si>
  <si>
    <t>711133</t>
  </si>
  <si>
    <t>X-LIGHT 02-0711133</t>
  </si>
  <si>
    <t>02-0711135</t>
  </si>
  <si>
    <t>711135</t>
  </si>
  <si>
    <t>X-LIGHT 02-0711135</t>
  </si>
  <si>
    <t>02-0711137</t>
  </si>
  <si>
    <t>711137</t>
  </si>
  <si>
    <t>X-LIGHT 02-0711137</t>
  </si>
  <si>
    <t>02-0711138</t>
  </si>
  <si>
    <t>711138</t>
  </si>
  <si>
    <t>X-LIGHT 02-0711138</t>
  </si>
  <si>
    <t>02-0711146</t>
  </si>
  <si>
    <t>711146</t>
  </si>
  <si>
    <t>X-LIGHT 02-0711146</t>
  </si>
  <si>
    <t>02-0711150</t>
  </si>
  <si>
    <t>711150</t>
  </si>
  <si>
    <t>X-LIGHT 02-0711150</t>
  </si>
  <si>
    <t>02-0711160</t>
  </si>
  <si>
    <t>711160</t>
  </si>
  <si>
    <t>X-LIGHT 02-0711160</t>
  </si>
  <si>
    <t>02-0711161</t>
  </si>
  <si>
    <t>711161</t>
  </si>
  <si>
    <t>X-LIGHT 02-0711161</t>
  </si>
  <si>
    <t>02-0711162</t>
  </si>
  <si>
    <t>711162</t>
  </si>
  <si>
    <t>X-LIGHT 02-0711162</t>
  </si>
  <si>
    <t>02-0711827</t>
  </si>
  <si>
    <t>711827</t>
  </si>
  <si>
    <t>X-LIGHT 02-0711827</t>
  </si>
  <si>
    <t>2105104 02 86</t>
  </si>
  <si>
    <t>02-0877020</t>
  </si>
  <si>
    <t>877-020</t>
  </si>
  <si>
    <t>ACTIVE 02-0877020</t>
  </si>
  <si>
    <t>02-0877021</t>
  </si>
  <si>
    <t>877-021</t>
  </si>
  <si>
    <t>ACTIVE 02-0877021</t>
  </si>
  <si>
    <t>02-0877030</t>
  </si>
  <si>
    <t>877-030</t>
  </si>
  <si>
    <t>ACTIVE 02-0877030</t>
  </si>
  <si>
    <t>02-0877031</t>
  </si>
  <si>
    <t>877-031</t>
  </si>
  <si>
    <t>ACTIVE 02-0877031</t>
  </si>
  <si>
    <t>02-0970111</t>
  </si>
  <si>
    <t>970111</t>
  </si>
  <si>
    <t>1802707 02 86</t>
  </si>
  <si>
    <t>02-0970119</t>
  </si>
  <si>
    <t>970119</t>
  </si>
  <si>
    <t>02-3970111</t>
  </si>
  <si>
    <t>3970111</t>
  </si>
  <si>
    <t>02-7131026</t>
  </si>
  <si>
    <t>7131026</t>
  </si>
  <si>
    <t>X-LIGHT 02-7131026</t>
  </si>
  <si>
    <t>02-7131028</t>
  </si>
  <si>
    <t>7131028</t>
  </si>
  <si>
    <t>X-LIGHT 02-7131028</t>
  </si>
  <si>
    <t>02-7131029</t>
  </si>
  <si>
    <t>7131029</t>
  </si>
  <si>
    <t>X-LIGHT 02-7131029</t>
  </si>
  <si>
    <t>02-7131030</t>
  </si>
  <si>
    <t>7131030</t>
  </si>
  <si>
    <t>X-LIGHT 02-7131030</t>
  </si>
  <si>
    <t>02-7131031</t>
  </si>
  <si>
    <t>7131031</t>
  </si>
  <si>
    <t>X-LIGHT 02-7131031</t>
  </si>
  <si>
    <t>02-7131032</t>
  </si>
  <si>
    <t>7131032</t>
  </si>
  <si>
    <t>X-LIGHT 02-7131032</t>
  </si>
  <si>
    <t>02-7131033</t>
  </si>
  <si>
    <t>7131033</t>
  </si>
  <si>
    <t>X-LIGHT 02-7131033</t>
  </si>
  <si>
    <t>02-7131035</t>
  </si>
  <si>
    <t>7131035</t>
  </si>
  <si>
    <t>X-LIGHT 02-7131035</t>
  </si>
  <si>
    <t>02-7131036</t>
  </si>
  <si>
    <t>7131036</t>
  </si>
  <si>
    <t>X-LIGHT 02-7131036</t>
  </si>
  <si>
    <t>02-7131037</t>
  </si>
  <si>
    <t>7131037</t>
  </si>
  <si>
    <t>X-LIGHT 02-7131037</t>
  </si>
  <si>
    <t>02-7131038</t>
  </si>
  <si>
    <t>7131038</t>
  </si>
  <si>
    <t>X-LIGHT 02-7131038</t>
  </si>
  <si>
    <t>02-7131041</t>
  </si>
  <si>
    <t>7131041</t>
  </si>
  <si>
    <t>X-LIGHT 02-7131041</t>
  </si>
  <si>
    <t>02-7131042</t>
  </si>
  <si>
    <t>7131042</t>
  </si>
  <si>
    <t>X-LIGHT 02-7131042</t>
  </si>
  <si>
    <t>02-7131047</t>
  </si>
  <si>
    <t>7131047</t>
  </si>
  <si>
    <t>X-LIGHT 02-7131047</t>
  </si>
  <si>
    <t>02-7131056</t>
  </si>
  <si>
    <t>7131056</t>
  </si>
  <si>
    <t>X-LIGHT 02-7131056</t>
  </si>
  <si>
    <t>02-7131058</t>
  </si>
  <si>
    <t>7131058</t>
  </si>
  <si>
    <t>X-LIGHT 02-7131058</t>
  </si>
  <si>
    <t>02-7131130</t>
  </si>
  <si>
    <t>7131130</t>
  </si>
  <si>
    <t>X-LIGHT 02-7131130</t>
  </si>
  <si>
    <t>02-7131131</t>
  </si>
  <si>
    <t>7131131</t>
  </si>
  <si>
    <t>X-LIGHT 02-7131131</t>
  </si>
  <si>
    <t>02-7131132</t>
  </si>
  <si>
    <t>7131132</t>
  </si>
  <si>
    <t>X-LIGHT 02-7131132</t>
  </si>
  <si>
    <t>02-7131133</t>
  </si>
  <si>
    <t>7131133</t>
  </si>
  <si>
    <t>X-LIGHT 02-7131133</t>
  </si>
  <si>
    <t>02-7131136</t>
  </si>
  <si>
    <t>7131136</t>
  </si>
  <si>
    <t>X-LIGHT 02-7131136</t>
  </si>
  <si>
    <t>02-7131138</t>
  </si>
  <si>
    <t>7131138</t>
  </si>
  <si>
    <t>X-LIGHT 02-7131138</t>
  </si>
  <si>
    <t>02-7131141</t>
  </si>
  <si>
    <t>7131141</t>
  </si>
  <si>
    <t>X-LIGHT 02-7131141</t>
  </si>
  <si>
    <t>02-7131142</t>
  </si>
  <si>
    <t>7131142</t>
  </si>
  <si>
    <t>X-LIGHT 02-7131142</t>
  </si>
  <si>
    <t>02-7131156</t>
  </si>
  <si>
    <t>7131156</t>
  </si>
  <si>
    <t>X-LIGHT 02-7131156</t>
  </si>
  <si>
    <t>02-7131158</t>
  </si>
  <si>
    <t>7131158</t>
  </si>
  <si>
    <t>X-LIGHT 02-7131158</t>
  </si>
  <si>
    <t>02-7131860</t>
  </si>
  <si>
    <t>7131860</t>
  </si>
  <si>
    <t>X-LIGHT 02-7131860</t>
  </si>
  <si>
    <t>02-7131874</t>
  </si>
  <si>
    <t>7131874</t>
  </si>
  <si>
    <t>X-LIGHT 02-7131874</t>
  </si>
  <si>
    <t>Еднократна трислойна маска</t>
  </si>
  <si>
    <t>Еднократна трислойна маска 000-992/10бр.</t>
  </si>
  <si>
    <t>Маска медицинска ТИП II 000-994</t>
  </si>
  <si>
    <t>Маска медицинска ТИП IIR 000-994R</t>
  </si>
  <si>
    <t>Двуслойна хигиенна маска 000-995</t>
  </si>
  <si>
    <t>Обувки Бизнес модел 034</t>
  </si>
  <si>
    <t>000-992 Еднократна трислойна маска</t>
  </si>
  <si>
    <t>000-992/10бр. Еднократна трислойна маска</t>
  </si>
  <si>
    <t>000-994 Маска медицинска ТИП II</t>
  </si>
  <si>
    <t>000-994R Маска медицинска ТИП IIR</t>
  </si>
  <si>
    <t>000-995 Двуслойна хигиенна маска</t>
  </si>
  <si>
    <t>Боти</t>
  </si>
  <si>
    <t>Боти SŁUŻBOWE WZÓR 998</t>
  </si>
  <si>
    <t>7327 сандали DYNAMIC bordo OB</t>
  </si>
  <si>
    <t>034 обувки SŁUŻBOWE WZÓR 034 черни</t>
  </si>
  <si>
    <t>черни</t>
  </si>
  <si>
    <t>045 Боти FORTO черни O2</t>
  </si>
  <si>
    <t>743 Боти GROM 000-743 черни</t>
  </si>
  <si>
    <t>744 Боти GROM 000-744 черни</t>
  </si>
  <si>
    <t>744X Боти GROM 000-744X черни</t>
  </si>
  <si>
    <t>750 Боти KANSEN черни O1</t>
  </si>
  <si>
    <t>829 Боти CYWIL черни</t>
  </si>
  <si>
    <t>900 Боти VIKING черни</t>
  </si>
  <si>
    <t>925 Боти HONOR черни KOMPANIA HONOROWA</t>
  </si>
  <si>
    <t>998 Боти SŁUŻBOWE WZÓR 998 черни</t>
  </si>
  <si>
    <t>364 Боти X-INFINITY черни S3</t>
  </si>
  <si>
    <t>365 сандали X-FAST черни S1P</t>
  </si>
  <si>
    <t>840 сандали TRAX AUTOMOTIVE 840 черни S1P</t>
  </si>
  <si>
    <t>841 обувки TRAX AUTOMOTIVE 841 черни S3</t>
  </si>
  <si>
    <t>842 Боти TRAX AUTOMOTIVE 842 черни S3</t>
  </si>
  <si>
    <t>223 Боти CELT черни O3</t>
  </si>
  <si>
    <t>223 Боти CELT X черни O1</t>
  </si>
  <si>
    <t>126 Боти WELDER черни S3</t>
  </si>
  <si>
    <t>911 Боти SOLIGOR черни S3</t>
  </si>
  <si>
    <t>751 Боти LAMPO черни O1</t>
  </si>
  <si>
    <t>371 Боти INFINITY черни O2</t>
  </si>
  <si>
    <t>410 Боти ASPHALT 010-410 черни</t>
  </si>
  <si>
    <t>427 Боти ASPHALT 010-427 черни</t>
  </si>
  <si>
    <t>850 обувки CONSTRUCT 2.0 L черни S3</t>
  </si>
  <si>
    <t>851 Боти CONSTRUCT 3.0 L черни S3</t>
  </si>
  <si>
    <t>851H Боти CONSTRUCT HRO черни S3</t>
  </si>
  <si>
    <t>852 Боти CRAFT черни S3</t>
  </si>
  <si>
    <t>853 обувки CRAFT 2.0 черни S3</t>
  </si>
  <si>
    <t>854 Боти CRAFT THINSULATE черни S3</t>
  </si>
  <si>
    <t>864 Боти CONSTRUCT 3.0 L THINSULATE черни S3</t>
  </si>
  <si>
    <t>864H Боти CONSTRUCT HRO thinsulate черни S3</t>
  </si>
  <si>
    <t>906 Боти OFFSHORE 1.0 THINSULATE черни S3</t>
  </si>
  <si>
    <t>912 Боти RESCUE 010-912 черни S3</t>
  </si>
  <si>
    <t>916 Боти RESCUE 010-916 черни S3</t>
  </si>
  <si>
    <t>940H Боти CONSTRUCT H OFFSHORE черни S3</t>
  </si>
  <si>
    <t>913 сандали PRECIZER E черни S1</t>
  </si>
  <si>
    <t>046 Боти CROSS COYOTE черни</t>
  </si>
  <si>
    <t>840 сандали TRAX 840 черни S1P</t>
  </si>
  <si>
    <t>841 обувки TRAX 841 черни S3</t>
  </si>
  <si>
    <t>842 Боти TRAX 842 черни S3</t>
  </si>
  <si>
    <t>847 сандали ROAD 847 черни S1P</t>
  </si>
  <si>
    <t>848 обувки ROAD 848 черни S3</t>
  </si>
  <si>
    <t>849 Боти ROAD 849 черни S3</t>
  </si>
  <si>
    <t>920 Боти GROM LIGHT черни</t>
  </si>
  <si>
    <t>011 Боти SENTINEL черни</t>
  </si>
  <si>
    <t>469 Боти FENIX черни S2</t>
  </si>
  <si>
    <t>863 обувки TRAX LIGHT 863 черни S1P</t>
  </si>
  <si>
    <t>663 Боти GATOR II черни</t>
  </si>
  <si>
    <t>689 Боти GATOR черни</t>
  </si>
  <si>
    <t>690 Боти PRO ARMY DESANT черни</t>
  </si>
  <si>
    <t>657 Боти STRATUS COMMANDER II черни</t>
  </si>
  <si>
    <t>715 обувки PARADER черни</t>
  </si>
  <si>
    <t>742 Боти GROM 108-742 черни</t>
  </si>
  <si>
    <t>428 Боти ZERTIX A черни F2A</t>
  </si>
  <si>
    <t>828 Боти BLAST черни F2A</t>
  </si>
  <si>
    <t>831 Боти BLAST 110-831 черни F2A</t>
  </si>
  <si>
    <t>834 Боти FALCON PRO черни S3</t>
  </si>
  <si>
    <t>928 Боти BLAST 2 черни F2A</t>
  </si>
  <si>
    <t>742 Боти GROM 118-742 черни O1</t>
  </si>
  <si>
    <t>742 Боти GROM 228-742 черни O3</t>
  </si>
  <si>
    <t>045 Боти FORTO STP черни S3</t>
  </si>
  <si>
    <t>981 обувки OFFICER CASUAL черни</t>
  </si>
  <si>
    <t>587 обувки PRAKTIKA черни O2</t>
  </si>
  <si>
    <t>909 Боти TORK черни O2</t>
  </si>
  <si>
    <t>132 сандали VELKOR SP черни S1</t>
  </si>
  <si>
    <t>342 обувки PRAKTIKA II черни S2</t>
  </si>
  <si>
    <t>659 Боти TORK II черни S2</t>
  </si>
  <si>
    <t>132 сандали VELKOR SP II черни S1P</t>
  </si>
  <si>
    <t>342 обувки PRAKTIKA III черни S3</t>
  </si>
  <si>
    <t>655 Боти TORK III S черни S3</t>
  </si>
  <si>
    <t>659 Боти TORK III черни S3</t>
  </si>
  <si>
    <t>011 сандали LEO LITE черни S1P</t>
  </si>
  <si>
    <t>031 сандали LEO LITE S черни S1P</t>
  </si>
  <si>
    <t>1010 сандали CLASSIC черни SB</t>
  </si>
  <si>
    <t>1011 сандали CLASSIC черни SB</t>
  </si>
  <si>
    <t>1122 обувки ANATOM черни S1</t>
  </si>
  <si>
    <t>1272 обувки STATIC CONTROL черни S1</t>
  </si>
  <si>
    <t>1275 сандали STATIC CONTROL черни S1</t>
  </si>
  <si>
    <t>1628 обувки UNI6 черни S3</t>
  </si>
  <si>
    <t>1641 обувки UNI6 черни S3</t>
  </si>
  <si>
    <t>1676 обувки UNI6 черни S3</t>
  </si>
  <si>
    <t>1741 обувки UNI6 черни S2</t>
  </si>
  <si>
    <t>1761 обувки UNI6 черни S2</t>
  </si>
  <si>
    <t>1765 обувки UNI6 черни S3</t>
  </si>
  <si>
    <t>1781 обувки UNI6 черни S2</t>
  </si>
  <si>
    <t>1796 сандали UNI6 черни S1</t>
  </si>
  <si>
    <t>2125 сандали ANATOM черни SB</t>
  </si>
  <si>
    <t>2135 обувки ANATOM черни S2</t>
  </si>
  <si>
    <t>2136 обувки ANATOM черни S2</t>
  </si>
  <si>
    <t>2168 Боти ANATOM черни S2</t>
  </si>
  <si>
    <t>2171 Боти ANATOM черни S2</t>
  </si>
  <si>
    <t>2281 Боти ANATOM черни S3</t>
  </si>
  <si>
    <t>2610 обувки AIR CUSHION черни O2</t>
  </si>
  <si>
    <t>2650 обувки AIR CUSHION черни O2</t>
  </si>
  <si>
    <t>2710 обувки AIR CUSHION черни O2</t>
  </si>
  <si>
    <t>3000 сандали SERVICE черни</t>
  </si>
  <si>
    <t>3030 сандали SERVICE черни O1</t>
  </si>
  <si>
    <t>3081 сандали SERVICE черни</t>
  </si>
  <si>
    <t>3110 обувки MANAGER черни</t>
  </si>
  <si>
    <t>3120 обувки MANAGER черни</t>
  </si>
  <si>
    <t>3130 обувки MANAGER черни</t>
  </si>
  <si>
    <t>3920 обувки BUSINESS LADY черни</t>
  </si>
  <si>
    <t>3940 обувки BUSINESS LADY черни</t>
  </si>
  <si>
    <t>3980 обувки BUSINESS LADY черни</t>
  </si>
  <si>
    <t>3990 обувки BUSINESS LADY черни</t>
  </si>
  <si>
    <t>4055 сандали NATURE черни OB</t>
  </si>
  <si>
    <t>5710 обувки REFLEXOR черни O1</t>
  </si>
  <si>
    <t>6610 сандали REFLEXOR черни</t>
  </si>
  <si>
    <t>6728 обувки UNI6 черни O2</t>
  </si>
  <si>
    <t>6741 обувки UNI6 черни O2</t>
  </si>
  <si>
    <t>6761 обувки UNI6 черни O2</t>
  </si>
  <si>
    <t>6776 обувки UNI6 черни O2</t>
  </si>
  <si>
    <t>6781 обувки UNI6 черни O2</t>
  </si>
  <si>
    <t>7209 сандали THE ORIGINAL черни OB</t>
  </si>
  <si>
    <t>7331 сандали DYNAMIC черни OB</t>
  </si>
  <si>
    <t>7332 сандали DYNAMIC черни OB</t>
  </si>
  <si>
    <t>7341 сандали DYNAMIC черни OB</t>
  </si>
  <si>
    <t>7342 сандали DYNAMIC черни OB</t>
  </si>
  <si>
    <t>7361 сандали DYNAMIC черни OB</t>
  </si>
  <si>
    <t>7401 обувки SERVICE черни</t>
  </si>
  <si>
    <t>7621 сандали EASY черни OB</t>
  </si>
  <si>
    <t>8045 сандали NATURE черни OB</t>
  </si>
  <si>
    <t>FOOD TRAX 4.1 UNISEX обувки черни S3</t>
  </si>
  <si>
    <t>FOOD TRAX 5.1 UNISEX Боти черни S3</t>
  </si>
  <si>
    <t>FOOD TRAX 6.1 UNISEX обувки черни S3</t>
  </si>
  <si>
    <t>FOOD TRAX 7.1 UNISEX Боти черни S3</t>
  </si>
  <si>
    <t>FOOD TRAX 2.1 UNISEX обувки черни S3</t>
  </si>
  <si>
    <t>FOOD TRAX 3.1 UNISEX Боти черни S3</t>
  </si>
  <si>
    <t>FOOD TRAX 5.1 THINSULATE Боти FOOD TRAX thinsulate черни S3</t>
  </si>
  <si>
    <t>FOOD TRAX 3.1 THINSULATE Боти FOOD TRAX thinsulate черни S3</t>
  </si>
  <si>
    <t>FOOD TRAX 7.1 THINSULATE Боти FOOD TRAX thinsulate черни S3</t>
  </si>
  <si>
    <t>31010 сандали CLASSIC черни SB</t>
  </si>
  <si>
    <t>31362 обувки STATIC CONTROL черни S2</t>
  </si>
  <si>
    <t>31628 обувки UNI6 черни S3</t>
  </si>
  <si>
    <t>31721 обувки UNI6 черни S1</t>
  </si>
  <si>
    <t>31741 обувки UNI6 черни S2</t>
  </si>
  <si>
    <t>31761 обувки UNI6 черни S2</t>
  </si>
  <si>
    <t>31765 обувки UNI6 черни S3</t>
  </si>
  <si>
    <t>32125 сандали ANATOM черни SB</t>
  </si>
  <si>
    <t>32135 обувки ANATOM черни S2</t>
  </si>
  <si>
    <t>32136 обувки ANATOM черни S2</t>
  </si>
  <si>
    <t>32156 обувки ANATOM черни S2</t>
  </si>
  <si>
    <t>32171 Боти ANATOM черни S2</t>
  </si>
  <si>
    <t>32189 сандали ANATOM черни S1</t>
  </si>
  <si>
    <t>32243 обувки ANATOM черни S1P</t>
  </si>
  <si>
    <t>32256 обувки ANATOM черни S3</t>
  </si>
  <si>
    <t>32268 Боти ANATOM черни S3</t>
  </si>
  <si>
    <t>32270 Боти ANATOM черни S3</t>
  </si>
  <si>
    <t>32289 сандали ANATOM черни S1P</t>
  </si>
  <si>
    <t>32310 обувки AIR CUSHION черни O1</t>
  </si>
  <si>
    <t>32430 обувки BUSINESS MAN черни O1</t>
  </si>
  <si>
    <t>32450 обувки BUSINESS MAN черни O1</t>
  </si>
  <si>
    <t>32610 обувки AIR CUSHION черни O2</t>
  </si>
  <si>
    <t>33230 обувки BUSINESS MAN черни S2</t>
  </si>
  <si>
    <t>33240 обувки BUSINESS MAN черни S2</t>
  </si>
  <si>
    <t>35710 обувки REFLEXOR черни O1</t>
  </si>
  <si>
    <t>36721 обувки UNI6 черни O1</t>
  </si>
  <si>
    <t>36728 обувки UNI6 черни O2</t>
  </si>
  <si>
    <t>36761 обувки UNI6 черни O2</t>
  </si>
  <si>
    <t>36796 сандали UNI6 черни O1</t>
  </si>
  <si>
    <t>36872 сандали REFLEXOR черни OB</t>
  </si>
  <si>
    <t>37331 сандали DYNAMIC черни OB</t>
  </si>
  <si>
    <t>37333 сандали DYNAMIC черни OB</t>
  </si>
  <si>
    <t>37341 сандали DYNAMIC черни OB</t>
  </si>
  <si>
    <t>37343 сандали DYNAMIC черни OB</t>
  </si>
  <si>
    <t>87209 сандали ACTIVE черни OB</t>
  </si>
  <si>
    <t>300119 обувки SERVICE черни O1</t>
  </si>
  <si>
    <t>300219 обувки SERVICE черни O1</t>
  </si>
  <si>
    <t>711027 обувки X-LIGHT черни S2</t>
  </si>
  <si>
    <t>711029 обувки X-LIGHT черни S2</t>
  </si>
  <si>
    <t>711035 сандали X-LIGHT черни SB</t>
  </si>
  <si>
    <t>711036 сандали X-LIGHT черни S1</t>
  </si>
  <si>
    <t>711037 обувки X-LIGHT черни S2</t>
  </si>
  <si>
    <t>711038 обувки X-LIGHT черни S2</t>
  </si>
  <si>
    <t>711046 обувки X-LIGHT черни S2</t>
  </si>
  <si>
    <t>711100 обувки X-LIGHT черни O2</t>
  </si>
  <si>
    <t>711101 обувки X-LIGHT черни O2</t>
  </si>
  <si>
    <t>711127 обувки X-LIGHT черни O2</t>
  </si>
  <si>
    <t>711129 обувки X-LIGHT черни O2</t>
  </si>
  <si>
    <t>711135 сандали X-LIGHT черни OB</t>
  </si>
  <si>
    <t>711137 обувки X-LIGHT черни O2</t>
  </si>
  <si>
    <t>711138 обувки X-LIGHT черни O2</t>
  </si>
  <si>
    <t>711146 обувки X-LIGHT черни O2</t>
  </si>
  <si>
    <t>711150 обувки X-LIGHT черни O1</t>
  </si>
  <si>
    <t>711160 обувки X-LIGHT черни O2</t>
  </si>
  <si>
    <t>711827 обувки X-LIGHT черни S3</t>
  </si>
  <si>
    <t>7131029 обувки X-LIGHT черни S2</t>
  </si>
  <si>
    <t>7131035 сандали X-LIGHT черни SB</t>
  </si>
  <si>
    <t>7131036 сандали X-LIGHT черни S1</t>
  </si>
  <si>
    <t>7131037 обувки X-LIGHT черни S2</t>
  </si>
  <si>
    <t>7131038 обувки X-LIGHT черни S2</t>
  </si>
  <si>
    <t>7131056 обувки X-LIGHT черни S1</t>
  </si>
  <si>
    <t>7131136 сандали X-LIGHT черни O1</t>
  </si>
  <si>
    <t>7131138 обувки X-LIGHT черни O2</t>
  </si>
  <si>
    <t>7131156 обувки X-LIGHT черни O1</t>
  </si>
  <si>
    <t>7131860 обувки X-LIGHT черни S3</t>
  </si>
  <si>
    <t>7131874 обувки X-LIGHT черни S3</t>
  </si>
  <si>
    <t>бели</t>
  </si>
  <si>
    <t>171 обувки FERIO бели O2</t>
  </si>
  <si>
    <t>171 обувки FERIO SP бели S2</t>
  </si>
  <si>
    <t>290 сандали TENSIO SP бели S1</t>
  </si>
  <si>
    <t>110 Боти CERTO SP бели S2</t>
  </si>
  <si>
    <t>1000 сандали CLASSIC бели SB</t>
  </si>
  <si>
    <t>1001 сандали CLASSIC бели SB</t>
  </si>
  <si>
    <t>1064 сандали REFLEXOR бели</t>
  </si>
  <si>
    <t>1158 обувки LIGHT бели</t>
  </si>
  <si>
    <t>1500 обувки CLASSIC бели S2</t>
  </si>
  <si>
    <t>1629 обувки UNI6 бели S3</t>
  </si>
  <si>
    <t>1740 обувки UNI6 бели S2</t>
  </si>
  <si>
    <t>1760 обувки UNI6 бели S1</t>
  </si>
  <si>
    <t>1772 обувки UNI6 бели S2</t>
  </si>
  <si>
    <t>1780 обувки UNI6 бели S2</t>
  </si>
  <si>
    <t>1786 обувки UNI6 бели S2</t>
  </si>
  <si>
    <t>1787 обувки UNI6 бели S2</t>
  </si>
  <si>
    <t>1795 сандали UNI6 бели S1</t>
  </si>
  <si>
    <t>2120 сандали ANATOM бели SB</t>
  </si>
  <si>
    <t>2130 обувки ANATOM бели S2</t>
  </si>
  <si>
    <t>2131 обувки ANATOM бели S2</t>
  </si>
  <si>
    <t>2140 обувки ANATOM бели S2</t>
  </si>
  <si>
    <t>2172 Боти ANATOM бели S2</t>
  </si>
  <si>
    <t>2280 Боти ANATOM бели S3</t>
  </si>
  <si>
    <t>2370 обувки AIR CUSHION бели O1</t>
  </si>
  <si>
    <t>2600 обувки AIR CUSHION бели O2</t>
  </si>
  <si>
    <t>2616 сандали ANATOM бели S1</t>
  </si>
  <si>
    <t>2626 сандали ANATOM бели S1</t>
  </si>
  <si>
    <t>2700 обувки AIR CUSHION бели O2</t>
  </si>
  <si>
    <t>3620 Боти CLEAN ROOM бели OB</t>
  </si>
  <si>
    <t>4040 сандали NATURE бели OB</t>
  </si>
  <si>
    <t>4050 сандали NATURE бели OB</t>
  </si>
  <si>
    <t>4090 сандали NATURE бели OB</t>
  </si>
  <si>
    <t>5700 обувки REFLEXOR бели O1</t>
  </si>
  <si>
    <t>6729 обувки UNI6 бели O2</t>
  </si>
  <si>
    <t>6750 обувки UNI6 бели O2</t>
  </si>
  <si>
    <t>6760 обувки UNI6 бели O1</t>
  </si>
  <si>
    <t>6772 обувки UNI6 бели O2</t>
  </si>
  <si>
    <t>6780 обувки UNI6 бели O2</t>
  </si>
  <si>
    <t>6786 обувки UNI6 бели O2</t>
  </si>
  <si>
    <t>6787 обувки UNI6 бели O2</t>
  </si>
  <si>
    <t>6795 сандали UNI6 бели O1</t>
  </si>
  <si>
    <t>6874 сандали REFLEXOR бели OB</t>
  </si>
  <si>
    <t>7208 сандали THE ORIGINAL бели OB</t>
  </si>
  <si>
    <t>7320 сандали DYNAMIC бели OB</t>
  </si>
  <si>
    <t>7329 сандали DYNAMIC бели OB</t>
  </si>
  <si>
    <t>7335 сандали DYNAMIC бели OB</t>
  </si>
  <si>
    <t>7345 сандали DYNAMIC бели OB</t>
  </si>
  <si>
    <t>7360 сандали DYNAMIC бели OB</t>
  </si>
  <si>
    <t>7367 сандали DYNAMIC бели OB</t>
  </si>
  <si>
    <t>7368 сандали DYNAMIC бели OB</t>
  </si>
  <si>
    <t>7369 сандали DYNAMIC бели OB</t>
  </si>
  <si>
    <t>7620 сандали EASY бели OB</t>
  </si>
  <si>
    <t>7622 сандали EASY бели OB</t>
  </si>
  <si>
    <t>7623 сандали EASY бели OB</t>
  </si>
  <si>
    <t>8040 сандали NATURE бели OB</t>
  </si>
  <si>
    <t>8400 сандали ARROW бели OB</t>
  </si>
  <si>
    <t>FOOD TRAX 4.0 UNISEX обувки бели S3</t>
  </si>
  <si>
    <t>FOOD TRAX 5.0 UNISEX Боти бели S3</t>
  </si>
  <si>
    <t>FOOD TRAX 6.0 UNISEX обувки бели S3</t>
  </si>
  <si>
    <t>FOOD TRAX 7.0 UNISEX Боти бели S3</t>
  </si>
  <si>
    <t>FOOD TRAX 2.0 UNISEX обувки бели S3</t>
  </si>
  <si>
    <t>FOOD TRAX 3.0 UNISEX Боти бели S3</t>
  </si>
  <si>
    <t>FOOD TRAX 5.0 THINSULATE Боти FOOD TRAX thinsulate бели S3</t>
  </si>
  <si>
    <t>FOOD TRAX 3.0 THINSULATE Боти FOOD TRAX thinsulate бели S3</t>
  </si>
  <si>
    <t>FOOD TRAX 7.0 THINSULATE Боти FOOD TRAX thinsulate бели S3</t>
  </si>
  <si>
    <t>31000 сандали CLASSIC бели SB</t>
  </si>
  <si>
    <t>31392 обувки STATIC CONTROL бели S2</t>
  </si>
  <si>
    <t>31740 обувки UNI6 бели S2</t>
  </si>
  <si>
    <t>31760 обувки UNI6 бели S1</t>
  </si>
  <si>
    <t>31772 обувки UNI6 бели S2</t>
  </si>
  <si>
    <t>31780 обувки UNI6 бели S2</t>
  </si>
  <si>
    <t>31795 сандали UNI6 бели S1</t>
  </si>
  <si>
    <t>32120 сандали ANATOM бели SB</t>
  </si>
  <si>
    <t>32130 обувки ANATOM бели S2</t>
  </si>
  <si>
    <t>32131 обувки ANATOM бели S2</t>
  </si>
  <si>
    <t>32140 обувки ANATOM бели S2</t>
  </si>
  <si>
    <t>32172 Боти ANATOM бели S2</t>
  </si>
  <si>
    <t>32300 обувки AIR CUSHION бели O1</t>
  </si>
  <si>
    <t>32370 обувки AIR CUSHION бели O1</t>
  </si>
  <si>
    <t>32700 обувки AIR CUSHION бели O2</t>
  </si>
  <si>
    <t>36729 обувки UNI6 бели O2</t>
  </si>
  <si>
    <t>36740 обувки UNI6 бели O2</t>
  </si>
  <si>
    <t>36772 обувки UNI6 бели O2</t>
  </si>
  <si>
    <t>37329 сандали DYNAMIC бели OB</t>
  </si>
  <si>
    <t>37335 сандали DYNAMIC бели OB</t>
  </si>
  <si>
    <t>37360 сандали DYNAMIC бели OB</t>
  </si>
  <si>
    <t>37369 сандали DYNAMIC бели OB</t>
  </si>
  <si>
    <t>37622 сандали EASY бели OB</t>
  </si>
  <si>
    <t>38600 сандали ARROW бели OB</t>
  </si>
  <si>
    <t>77032 сандали THE ORIGINAL бели OB</t>
  </si>
  <si>
    <t>87208 сандали ACTIVE бели OB</t>
  </si>
  <si>
    <t>711026 обувки X-LIGHT бели S2</t>
  </si>
  <si>
    <t>711028 обувки X-LIGHT бели S2</t>
  </si>
  <si>
    <t>711030 сандали X-LIGHT бели SB</t>
  </si>
  <si>
    <t>711031 сандали X-LIGHT бели S1</t>
  </si>
  <si>
    <t>711032 обувки X-LIGHT бели S2</t>
  </si>
  <si>
    <t>711033 обувки X-LIGHT бели S2</t>
  </si>
  <si>
    <t>711047 обувки X-LIGHT бели S2</t>
  </si>
  <si>
    <t>711124 обувки X-LIGHT бели O2</t>
  </si>
  <si>
    <t>711126 обувки X-LIGHT бели O2</t>
  </si>
  <si>
    <t>711128 обувки X-LIGHT бели O2</t>
  </si>
  <si>
    <t>711130 сандали X-LIGHT бели OB</t>
  </si>
  <si>
    <t>711131 сандали X-LIGHT бели O1</t>
  </si>
  <si>
    <t>711132 обувки X-LIGHT бели O2</t>
  </si>
  <si>
    <t>711133 обувки X-LIGHT бели O2</t>
  </si>
  <si>
    <t>7131026 обувки X-LIGHT бели S2</t>
  </si>
  <si>
    <t>7131028 обувки X-LIGHT бели S2</t>
  </si>
  <si>
    <t>7131030 сандали X-LIGHT бели SB</t>
  </si>
  <si>
    <t>7131031 сандали X-LIGHT бели S1</t>
  </si>
  <si>
    <t>7131032 обувки X-LIGHT бели S2</t>
  </si>
  <si>
    <t>7131033 обувки X-LIGHT бели S2</t>
  </si>
  <si>
    <t>7131047 обувки X-LIGHT бели S2</t>
  </si>
  <si>
    <t>7131058 обувки X-LIGHT бели S1</t>
  </si>
  <si>
    <t>7131130 сандали X-LIGHT бели OB</t>
  </si>
  <si>
    <t>7131131 сандали X-LIGHT бели O1</t>
  </si>
  <si>
    <t>7131132 обувки X-LIGHT бели O2</t>
  </si>
  <si>
    <t>7131133 обувки X-LIGHT бели O2</t>
  </si>
  <si>
    <t>7131158 обувки X-LIGHT бели O1</t>
  </si>
  <si>
    <t>367 обувки X-PERFO сиви S1P</t>
  </si>
  <si>
    <t>сиви</t>
  </si>
  <si>
    <t>863 обувки TRAX LIGHT 863 сиви S1P</t>
  </si>
  <si>
    <t>365 сандали X-FAST сиви S1P</t>
  </si>
  <si>
    <t>840 сандали TRAX 840 сиви S1P</t>
  </si>
  <si>
    <t>841 обувки TRAX 841 сиви S3</t>
  </si>
  <si>
    <t>842 Боти TRAX 842 сиви S3</t>
  </si>
  <si>
    <t>850 обувки CONSTRUCT 2.0 N сиви S3</t>
  </si>
  <si>
    <t>851 Боти CONSTRUCT 3.0 N сиви S3</t>
  </si>
  <si>
    <t>920 Боти GROM LIGHT сиви</t>
  </si>
  <si>
    <t>961 сандали VELKOR сиви O1</t>
  </si>
  <si>
    <t>132 сандали VELKOR1 сиви S1</t>
  </si>
  <si>
    <t>132 сандали VELKOR2 сиви S1</t>
  </si>
  <si>
    <t>0810 обувки BRAZIL сиви</t>
  </si>
  <si>
    <t>1775 обувки UNI6 сиви S2</t>
  </si>
  <si>
    <t>6775 обувки UNI6 сиви O2</t>
  </si>
  <si>
    <t>7328 сандали DYNAMIC сиви OB</t>
  </si>
  <si>
    <t>7362 сандали DYNAMIC сиви OB</t>
  </si>
  <si>
    <t>7363 сандали DYNAMIC сиви OB</t>
  </si>
  <si>
    <t>7365 сандали DYNAMIC сиви OB</t>
  </si>
  <si>
    <t>7366 сандали DYNAMIC сиви OB</t>
  </si>
  <si>
    <t>10810 обувки BRAZIL сиви</t>
  </si>
  <si>
    <t>20810 обувки BRAZIL сиви</t>
  </si>
  <si>
    <t>31775 обувки UNI6 сиви S2</t>
  </si>
  <si>
    <t>32247 обувки ANATOM сиви S1P</t>
  </si>
  <si>
    <t>36775 обувки UNI6 сиви O2</t>
  </si>
  <si>
    <t>37328 сандали DYNAMIC сиви OB</t>
  </si>
  <si>
    <t>1094 чехли REFLEXOR бели</t>
  </si>
  <si>
    <t>4080 чехли NATURE бели OB</t>
  </si>
  <si>
    <t>5007 чехли THE ORIGINAL бели OB</t>
  </si>
  <si>
    <t>5013 чехли THE ORIGINAL бели OB</t>
  </si>
  <si>
    <t>5080 чехли THE ORIGINAL бели OB</t>
  </si>
  <si>
    <t>5081 чехли THE ORIGINAL бели OB</t>
  </si>
  <si>
    <t>6903 чехли REFLEXOR бели OB</t>
  </si>
  <si>
    <t>7020 чехли THE ORIGINAL бели OB</t>
  </si>
  <si>
    <t>7021 чехли THE ORIGINAL бели OB</t>
  </si>
  <si>
    <t>7050 чехли THE ORIGINAL бели OB</t>
  </si>
  <si>
    <t>7201 чехли THE ORIGINAL бели OB</t>
  </si>
  <si>
    <t>7310 чехли DYNAMIC бели OB</t>
  </si>
  <si>
    <t>7312 чехли DYNAMIC бели OB</t>
  </si>
  <si>
    <t>7313 чехли DYNAMIC бели OB</t>
  </si>
  <si>
    <t>7351 чехли DYNAMIC бели OB</t>
  </si>
  <si>
    <t>7521 чехли THE ORIGINAL PLUS бели OB</t>
  </si>
  <si>
    <t>7630 чехли EASY бели OB</t>
  </si>
  <si>
    <t>8087 чехли NATURE бели</t>
  </si>
  <si>
    <t>8320 чехли ARROW бели OB</t>
  </si>
  <si>
    <t>012-018 чехли ACTIVE бели OB</t>
  </si>
  <si>
    <t>012-020 чехли ACTIVE бели OB</t>
  </si>
  <si>
    <t>35600 чехли ARROW бели OB</t>
  </si>
  <si>
    <t>36902 чехли REFLEXOR бели OB</t>
  </si>
  <si>
    <t>37310 чехли DYNAMIC бели OB</t>
  </si>
  <si>
    <t>37312 чехли DYNAMIC бели OB</t>
  </si>
  <si>
    <t>37313 чехли DYNAMIC бели OB</t>
  </si>
  <si>
    <t>37320 чехли DYNAMIC бели OB</t>
  </si>
  <si>
    <t>37520 чехли THE ORIGINAL PLUS бели OB</t>
  </si>
  <si>
    <t>37630 чехли EASY бели OB</t>
  </si>
  <si>
    <t>38200 чехли ARROW бели OB</t>
  </si>
  <si>
    <t>38300 чехли ARROW бели OB</t>
  </si>
  <si>
    <t>77020 чехли THE ORIGINAL бели OB</t>
  </si>
  <si>
    <t>77021 чехли THE ORIGINAL бели OB</t>
  </si>
  <si>
    <t>77022 чехли THE ORIGINAL бели OB</t>
  </si>
  <si>
    <t>77023 чехли THE ORIGINAL бели OB</t>
  </si>
  <si>
    <t>77024 чехли THE ORIGINAL бели OB</t>
  </si>
  <si>
    <t>85080 чехли ACTIVE бели OB</t>
  </si>
  <si>
    <t>85081 чехли ACTIVE бели OB</t>
  </si>
  <si>
    <t>87020 чехли ACTIVE бели OB</t>
  </si>
  <si>
    <t>87021 чехли ACTIVE бели OB</t>
  </si>
  <si>
    <t>87050 чехли ACTIVE бели OB</t>
  </si>
  <si>
    <t>711041 чехли X-LIGHT бели SB</t>
  </si>
  <si>
    <t>877020 чехли ACTIVE бели OB</t>
  </si>
  <si>
    <t>877021 чехли ACTIVE бели OB</t>
  </si>
  <si>
    <t>7131041 чехли X-LIGHT бели SB</t>
  </si>
  <si>
    <t>7131141 чехли X-LIGHT бели OB</t>
  </si>
  <si>
    <t>1092 чехли REFLEXOR черни</t>
  </si>
  <si>
    <t>4085 чехли NATURE черни OB</t>
  </si>
  <si>
    <t>7030 чехли THE ORIGINAL черни OB</t>
  </si>
  <si>
    <t>7031 чехли THE ORIGINAL черни OB</t>
  </si>
  <si>
    <t>7315 чехли DYNAMIC черни OB</t>
  </si>
  <si>
    <t>7531 чехли THE ORIGINAL PLUS черни OB</t>
  </si>
  <si>
    <t>7631 чехли EASY черни OB</t>
  </si>
  <si>
    <t>8088 чехли NATURE черни</t>
  </si>
  <si>
    <t>8210 чехли ARROW черни OB</t>
  </si>
  <si>
    <t>8310 чехли ARROW черни OB</t>
  </si>
  <si>
    <t>010-019 чехли ACTIVE черни OB</t>
  </si>
  <si>
    <t>010-020 чехли ACTIVE черни OB</t>
  </si>
  <si>
    <t>36813 чехли REFLEXOR COMFORT черни OB</t>
  </si>
  <si>
    <t>36819 чехли REFLEXOR COMFORT черни OB</t>
  </si>
  <si>
    <t>36912 чехли REFLEXOR черни OB</t>
  </si>
  <si>
    <t>37315 чехли DYNAMIC черни OB</t>
  </si>
  <si>
    <t>37530 чехли THE ORIGINAL PLUS черни OB</t>
  </si>
  <si>
    <t>37631 чехли EASY черни OB</t>
  </si>
  <si>
    <t>38210 чехли ARROW черни OB</t>
  </si>
  <si>
    <t>38330 чехли ARROW черни OB</t>
  </si>
  <si>
    <t>77030 чехли THE ORIGINAL черни OB</t>
  </si>
  <si>
    <t>77031 чехли THE ORIGINAL черни OB</t>
  </si>
  <si>
    <t>87030 чехли ACTIVE черни OB</t>
  </si>
  <si>
    <t>87031 чехли ACTIVE черни OB</t>
  </si>
  <si>
    <t>711042 чехли X-LIGHT черни SB</t>
  </si>
  <si>
    <t>877030 чехли ACTIVE черни OB</t>
  </si>
  <si>
    <t>877031 чехли ACTIVE черни OB</t>
  </si>
  <si>
    <t>7131042 чехли X-LIGHT черни SB</t>
  </si>
  <si>
    <t>7131142 чехли X-LIGHT черни OB</t>
  </si>
  <si>
    <t>745 Боти GROM 000-745 кафеви</t>
  </si>
  <si>
    <t>кафеви</t>
  </si>
  <si>
    <t>852 Боти CRAFT 3.0 кафеви S3</t>
  </si>
  <si>
    <t>863 обувки TRAX LIGHT 863 кафеви S1P</t>
  </si>
  <si>
    <t>745 Боти GROM 228-745 кафеви O3</t>
  </si>
  <si>
    <t>3121 обувки MANAGER кафеви</t>
  </si>
  <si>
    <t>сини</t>
  </si>
  <si>
    <t>361 обувки X-CRECK тъмно сини S1P</t>
  </si>
  <si>
    <t>тъмно сини</t>
  </si>
  <si>
    <t>367 обувки X-PERFO тъмно сини S1P</t>
  </si>
  <si>
    <t>863 обувки TRAX LIGHT 863 тъмно сини S1P</t>
  </si>
  <si>
    <t>840 сандали TRAX 840 тъмно сини S1P</t>
  </si>
  <si>
    <t>841 обувки TRAX 841 тъмно сини S3</t>
  </si>
  <si>
    <t>842 Боти TRAX 842 тъмно сини S3</t>
  </si>
  <si>
    <t>920 Боти GROM LIGHT тъмно сини</t>
  </si>
  <si>
    <t>4045 сандали NATURE тъмно сини OB</t>
  </si>
  <si>
    <t>045-018 чехли ACTIVE тъмно сини OB</t>
  </si>
  <si>
    <t>342 обувки PRAKTIKA VENTO сини S1</t>
  </si>
  <si>
    <t>1773 обувки UNI6 сини S2</t>
  </si>
  <si>
    <t>2252 обувки ANATOM сини S3</t>
  </si>
  <si>
    <t>2282 сандали ANATOM сини S1P</t>
  </si>
  <si>
    <t>4086 чехли NATURE сини OB</t>
  </si>
  <si>
    <t>4096 сандали NATURE сини OB</t>
  </si>
  <si>
    <t>6773 обувки UNI6 сини O2</t>
  </si>
  <si>
    <t>7080 чехли THE ORIGINAL сини OB</t>
  </si>
  <si>
    <t>7081 чехли THE ORIGINAL сини OB</t>
  </si>
  <si>
    <t>7326 сандали DYNAMIC сини OB</t>
  </si>
  <si>
    <t>31762 обувки UNI6 сини S1</t>
  </si>
  <si>
    <t>31763 обувки UNI6 сини S1</t>
  </si>
  <si>
    <t>31773 обувки UNI6 сини S2</t>
  </si>
  <si>
    <t>32147 обувки ANATOM сини S1</t>
  </si>
  <si>
    <t>36763 обувки UNI6 сини O1</t>
  </si>
  <si>
    <t>36773 обувки UNI6 сини O2</t>
  </si>
  <si>
    <t>87080 чехли ACTIVE сини OB</t>
  </si>
  <si>
    <t>87081 чехли ACTIVE сини OB</t>
  </si>
  <si>
    <t>847 сандали ROAD 847 зелени S1P</t>
  </si>
  <si>
    <t>зелени</t>
  </si>
  <si>
    <t>848 обувки ROAD 848 зелени S3</t>
  </si>
  <si>
    <t>849 Боти ROAD 849 зелени S3</t>
  </si>
  <si>
    <t>2251 обувки ANATOM зелени S3</t>
  </si>
  <si>
    <t>2283 сандали ANATOM зелени S1P</t>
  </si>
  <si>
    <t>7090 чехли THE ORIGINAL зелени OB</t>
  </si>
  <si>
    <t>7091 чехли THE ORIGINAL зелени OB</t>
  </si>
  <si>
    <t>014-018 чехли ACTIVE зелени OB</t>
  </si>
  <si>
    <t>711161 обувки X-LIGHT зелени O1</t>
  </si>
  <si>
    <t>711162 обувки X-LIGHT зелени O1</t>
  </si>
  <si>
    <t>3910 аксесоари CLEAN ROOM сини</t>
  </si>
  <si>
    <t>черни/червени</t>
  </si>
  <si>
    <t>835 Боти FALCON черни/червени F2A</t>
  </si>
  <si>
    <t>червени</t>
  </si>
  <si>
    <t>9600 Autoclav сабо бели OB</t>
  </si>
  <si>
    <t>Autoclav сабо</t>
  </si>
  <si>
    <t>9610 сабо AUTOCLAV сини OB</t>
  </si>
  <si>
    <t>9620 Autoclav сабо зелени OB</t>
  </si>
  <si>
    <t>024-018 чехли ACTIVE фуксия OB</t>
  </si>
  <si>
    <t>024-020 чехли ACTIVE фуксия OB</t>
  </si>
  <si>
    <t>1774 обувки UNI6 оранжеви S2</t>
  </si>
  <si>
    <t>оранжеви</t>
  </si>
  <si>
    <t>2257 обувки ANATOM оранжеви S3</t>
  </si>
  <si>
    <t>6774 обувки UNI6 оранжеви O2</t>
  </si>
  <si>
    <t>9630 сабо AUTOCLAV оранжеви OB</t>
  </si>
  <si>
    <t>39630 Autoclav сабо оранжеви OB</t>
  </si>
  <si>
    <t>835 Боти FALCON черни/жълти F2A</t>
  </si>
  <si>
    <t>832 Боти FALCON. черни/червени F2A вариант червени</t>
  </si>
  <si>
    <t>832 Боти FALCON. черни/жълти F2A вариант жълти</t>
  </si>
  <si>
    <t>920 Боти GROM LIGHT 000-920 бежов</t>
  </si>
  <si>
    <t>850 обувки CONSTRUCT 2.0 N бежов S3</t>
  </si>
  <si>
    <t>851 Боти CONSTRUCT 3.0 N бежов S3</t>
  </si>
  <si>
    <t>046 Боти CROSS COYOTE бежов</t>
  </si>
  <si>
    <t>123 обувки CELT ниски черни O3</t>
  </si>
  <si>
    <t>123 обувки CELT ниски X черни O1</t>
  </si>
  <si>
    <t>370 обувки INFINITY ниски черни O2</t>
  </si>
  <si>
    <t>924 обувки UNIQUE HRO ниски 010-924 черни O2</t>
  </si>
  <si>
    <t>UNIQUE ниски</t>
  </si>
  <si>
    <t>124 обувки CROSS ниски черни</t>
  </si>
  <si>
    <t>CROSS ниски</t>
  </si>
  <si>
    <t>363 обувки X-INFINITY ниски черни S3</t>
  </si>
  <si>
    <t>371 Боти GROM LIGHT ниски 015-371 черни</t>
  </si>
  <si>
    <t>GROM LIGHT ниски</t>
  </si>
  <si>
    <t>371 Боти GROM LIGHT ниски 025-371 сиви</t>
  </si>
  <si>
    <t>124U обувки CROSS ниски U бежов</t>
  </si>
  <si>
    <t>311 обувки LEO ниски черни S3</t>
  </si>
  <si>
    <t>DYNAMIC Fниски 02-0007370</t>
  </si>
  <si>
    <t>7370 обувки DYNAMIC Fниски бели O1</t>
  </si>
  <si>
    <t>DYNAMIC Fниски</t>
  </si>
  <si>
    <t>DYNAMIC Fниски 02-0007374</t>
  </si>
  <si>
    <t>7374 обувки DYNAMIC Fниски червени O1</t>
  </si>
  <si>
    <t>DYNAMIC Fниски 02-0007375</t>
  </si>
  <si>
    <t>7375 обувки DYNAMIC Fниски сиви O1</t>
  </si>
  <si>
    <t>DYNAMIC Fниски 02-0007376</t>
  </si>
  <si>
    <t>7376 обувки DYNAMIC Fниски черни O1</t>
  </si>
  <si>
    <t>918 Боти UNIQUE HRO високи 010-918 черни O3</t>
  </si>
  <si>
    <t>931 Боти UNIQUE HRO високи 010-931 черни O3</t>
  </si>
  <si>
    <t>412 Боти LEO високи черни S3</t>
  </si>
  <si>
    <t>7001 чехли високи ORIGINAL бели OB</t>
  </si>
  <si>
    <t>7002 чехли високи ORIGINAL бели OB</t>
  </si>
  <si>
    <t>7008 чехли високи ORIGINAL бели OB</t>
  </si>
  <si>
    <t>7009 чехли високи ORIGINAL черни OB</t>
  </si>
  <si>
    <t>910 Боти UNIQUE HRO средни 010-910 черни O3</t>
  </si>
  <si>
    <t>930 Боти UNIQUE HRO средни 010-930 черни O3</t>
  </si>
  <si>
    <t>932 Боти UNIQUE HRO средни 010-932 черни O3</t>
  </si>
  <si>
    <t>929 Боти UNIQUE средни сиви</t>
  </si>
  <si>
    <t>929 Боти UNIQUE средни бежов</t>
  </si>
  <si>
    <t>411 Боти LEO средни черни S3</t>
  </si>
  <si>
    <t>бежови</t>
  </si>
  <si>
    <t>бордо</t>
  </si>
  <si>
    <t>фуксия</t>
  </si>
  <si>
    <t>черни/жълти</t>
  </si>
  <si>
    <t>кожа</t>
  </si>
  <si>
    <t>термопластичен еластомер</t>
  </si>
  <si>
    <t>полиуретан/каучук, подметка позволяваща безопасно изкачване на стълби</t>
  </si>
  <si>
    <t>каучук</t>
  </si>
  <si>
    <t>каучук, подметка позволяваща безопасно изкачване на стълби</t>
  </si>
  <si>
    <t>970111 сандали каучук бели OB</t>
  </si>
  <si>
    <t>970119 сандали каучук черни OB</t>
  </si>
  <si>
    <t>3970111 сандали каучук бели OB</t>
  </si>
  <si>
    <t>полиуретан/полиуретан</t>
  </si>
  <si>
    <t>усточивост на киселини and bases
resistance to short-term contact with hot substrate at a temperature of 180°C</t>
  </si>
  <si>
    <t>усточивост на киселини and bases
resistance to short-term contact with hot substrate at a temperature of 180°C</t>
  </si>
  <si>
    <t>усточивост на киселини</t>
  </si>
  <si>
    <t>каучук, топлоустойчива подметка</t>
  </si>
  <si>
    <t xml:space="preserve">полиуретан/полиуретан, подметка позволяваща безопасно изкачване на стълби, усточивост на киселини, усточивост на основи, усточивост на краткосрочен контакт с гореща повърхност 180 ° C, технология SHOCK ABSORBER </t>
  </si>
  <si>
    <t xml:space="preserve">полиуретан/полиуретан, усточивост на киселини, усточивост на основи, усточивост на краткосрочен контакт с гореща повърхност 180 ° C, PRT FLEX технология, технология SHOCK ABSORBER </t>
  </si>
  <si>
    <t xml:space="preserve">полиуретан/полиуретан, усточивост на киселини, усточивост на основи, усточивост на краткосрочен контакт с гореща повърхност 180 ° C, технология SHOCK ABSORBER </t>
  </si>
  <si>
    <t xml:space="preserve">полиуретан/полиуретан, технология SHOCK ABSORBER </t>
  </si>
  <si>
    <t xml:space="preserve">полиуретан/полиуретан, подметка позволяваща безопасно изкачване на стълби, усточивост на киселини, усточивост на основи, усточивост на краткосрочен контакт с гореща повърхност 180 ° C, PRT FLEX технология, технология SHOCK ABSORBER </t>
  </si>
  <si>
    <t xml:space="preserve">полиуретан/каучук, подметка позволяваща безопасно изкачване на стълби, технология SHOCK ABSORBER </t>
  </si>
  <si>
    <t>полиуретан/каучук, технология SHOCK ABSORBER ,технология SELF CLEAN -самопочистваща се подметка</t>
  </si>
  <si>
    <t>каучук, топлоустойчива подметка, технология SHOCK ABSORBER ,технология SELF CLEAN -самопочистваща се подметка</t>
  </si>
  <si>
    <t>каучук, топлоустойчива подметка, усточивост на киселини, усточивост на краткосрочен контакт с гореща повърхност 180 ° C, PRT FLEX технология, технология SHOCK ABSORBER ,технология SELF CLEAN -самопочистваща се подметка</t>
  </si>
  <si>
    <t>каучук, подметка позволяваща безопасно изкачване на стълби,технология SELF CLEAN -самопочистваща се подметка</t>
  </si>
  <si>
    <t>полиуретан/полиуретан, подметка позволяваща безопасно изкачване на стълби, усточивост на киселини, усточивост на основи, усточивост на краткосрочен контакт с гореща повърхност 180 ° C, технология SHOCK ABSORBER ,технология SELF CLEAN -самопочистваща се подметка</t>
  </si>
  <si>
    <t>полиуретан/полиуретан, подметка позволяваща безопасно изкачване на стълби, PRT FLEX технология, технология SHOCK ABSORBER ,технология SELF CLEAN -самопочистваща се подметка</t>
  </si>
  <si>
    <t>полиуретан/полиуретан, усточивост на киселини, усточивост на основи, усточивост на краткосрочен контакт с гореща повърхност 180 ° C, PRT FLEX технология, технология SHOCK ABSORBER ,технология SELF CLEAN -самопочистваща се подметка</t>
  </si>
  <si>
    <t>пвц</t>
  </si>
  <si>
    <t>пвц/каучук</t>
  </si>
  <si>
    <t>термо-пластичен полиуретан</t>
  </si>
  <si>
    <t>Sтермо-пластичен материалATUS COMMANDER</t>
  </si>
  <si>
    <t xml:space="preserve">термо-пластичен материал, технология SHOCK ABSORBER </t>
  </si>
  <si>
    <t>- universal size, mask dimensions ≈ 17.5 cm x 9 cm
- бели color
- composition: 100% polypropylene
- nonwovens from which the mask is made, produced in PL
- полиуретанt on behind the ears with elastic bands
- the possibility of individual adjustment to the shape of the nose with a wire sewn inside, the use of long stiffening червениuces the fogging of glasses
- alнискиs you to breathe freely
- designed in a way that ensures optimal adhesion of the mask to the face
- non-sterile                                                                                                        - protects against the spread of microorganisms transmitted by droplets</t>
  </si>
  <si>
    <t>- universal size, mask dimensions ≈ 17.5 cm x 9 cm
- бели color
- composition: 100% polypropylene
- nonwovens from which the mask is made, produced in PL
- полиуретанt on behind the ears with elastic bands
- the possibility of individual adjustment to the shape of the nose with a wire sewn inside, the use of long stiffening червениuces the fogging of glasses
- alнискиs you to breathe freely
- designed in a way that ensures optimal adhesion of the mask to the face
- non-sterile</t>
  </si>
  <si>
    <t>полиуретан</t>
  </si>
  <si>
    <t>полиуретан/термо-пластичен полиуретан</t>
  </si>
  <si>
    <t>полиуретан/термо-пластичен полиуретан, технология SHOCK ABSORBER ,технология SELF CLEAN -самопочистваща се подметка</t>
  </si>
  <si>
    <t xml:space="preserve">полиуретан/термо-пластичен полиуретан, технология SHOCK ABSORBER </t>
  </si>
  <si>
    <t xml:space="preserve">полиуретан, технология SHOCK ABSORBER </t>
  </si>
  <si>
    <t>каучук/корк</t>
  </si>
  <si>
    <t xml:space="preserve">каучук/корк, технология SHOCK ABSORBER </t>
  </si>
  <si>
    <t>термо-пластичен полиуретан/каучук</t>
  </si>
  <si>
    <t>височина на ток 45 mm</t>
  </si>
  <si>
    <t>връзки</t>
  </si>
  <si>
    <t>катарама+ връзки</t>
  </si>
  <si>
    <t>цип</t>
  </si>
  <si>
    <t>цип + връзки</t>
  </si>
  <si>
    <t>цип + връзки, система за бързо обуване</t>
  </si>
  <si>
    <t>връзки, система за бързо обуване</t>
  </si>
  <si>
    <t>велкро</t>
  </si>
  <si>
    <t>велкро + връзки</t>
  </si>
  <si>
    <t>връзки, система за бързо обуване, система за бързо сваляне</t>
  </si>
  <si>
    <t>цип + връзки, система за бързо обуване, система за бързо сваляне</t>
  </si>
  <si>
    <t>велкро, система за бързо обуване, система за бързо сваляне</t>
  </si>
  <si>
    <t>цип, система за бързо обуване, система за бързо сваляне</t>
  </si>
  <si>
    <t>катарама</t>
  </si>
  <si>
    <t>нахлузване</t>
  </si>
  <si>
    <t>нахлузване, система за бързо обуване, система за бързо сваляне</t>
  </si>
  <si>
    <t>0,55 kg (половин чифт р.42) +/- 3% t.</t>
  </si>
  <si>
    <t>0,81 kg (половин чифт р.42) +/- 3% t.</t>
  </si>
  <si>
    <t>0,39 kg (половин чифт р.42) +/- 3% t.</t>
  </si>
  <si>
    <t>0,66 kg (половин чифт р.45) +/- 3% t.</t>
  </si>
  <si>
    <t>0,63 kg (половин чифт р.42) +/- 3% t.</t>
  </si>
  <si>
    <t>0,80 kg (половин чифт р.27) +/- 3% t.</t>
  </si>
  <si>
    <t>0,81 kg (половин чифт р.27) +/- 3% t.</t>
  </si>
  <si>
    <t>0,74 kg (половин чифт р.42) +/- 3% t.</t>
  </si>
  <si>
    <t>1,09 kg (половин чифт р.42) +/- 3% t.</t>
  </si>
  <si>
    <t>0,91 kg (половин чифт р.42) +/- 3% t.</t>
  </si>
  <si>
    <t>0,49 kg (половин чифт р.42) +/- 3% t.</t>
  </si>
  <si>
    <t>0,60 kg (половин чифт р.42) +/- 3% t.</t>
  </si>
  <si>
    <t>0,65 kg (половин чифт р.42) +/- 3% t.</t>
  </si>
  <si>
    <t>0,58 kg (половин чифт р.42) +/- 3% t.</t>
  </si>
  <si>
    <t>0,64 kg (половин чифт р.42) +/- 3% t.</t>
  </si>
  <si>
    <t>0,75 kg (половин чифт р.42) +/- 3% t.</t>
  </si>
  <si>
    <t>0,70 kg (половин чифт р.42) +/- 3% t.</t>
  </si>
  <si>
    <t>0,68 kg (половин чифт р.42) +/- 3% t.</t>
  </si>
  <si>
    <t>0,56 kg (половин чифт р.42) +/- 3% t.</t>
  </si>
  <si>
    <t>0,94 kg (половин чифт р.27) +/- 3% t.</t>
  </si>
  <si>
    <t>0,77 kg (половин чифт р.42) +/- 3% t.</t>
  </si>
  <si>
    <t>0,87 kg (половин чифт р.42) +/- 3% t.</t>
  </si>
  <si>
    <t>0,54 kg (половин чифт р.42) +/- 3% t.</t>
  </si>
  <si>
    <t>0,50 kg (половин чифт р.42) +/- 3% t.</t>
  </si>
  <si>
    <t>0,83 kg (половин чифт р.42) +/- 3% t.</t>
  </si>
  <si>
    <t>0,67 kg (половин чифт р.42) +/- 3% t.</t>
  </si>
  <si>
    <t>0,72 kg (половин чифт р.42) +/- 3% t.</t>
  </si>
  <si>
    <t>0,73 kg (половин чифт р.42) +/- 3% t.</t>
  </si>
  <si>
    <t>0,85 kg (половин чифт р.42) +/- 3% t.</t>
  </si>
  <si>
    <t>0,51 kg (половин чифт р.40) +/- 3% t.</t>
  </si>
  <si>
    <t>0,71 kg (половин чифт р.44) +/- 3% t.</t>
  </si>
  <si>
    <t>0,69 kg (половин чифт р.40) +/- 3% t.</t>
  </si>
  <si>
    <t>0,62 kg (половин чифт р.40) +/- 3% t.</t>
  </si>
  <si>
    <t>0,47 kg (половин чифт р.42) +/- 3% t.</t>
  </si>
  <si>
    <t>0,52 kg (половин чифт р.42) +/- 3% t.</t>
  </si>
  <si>
    <t>0,59 kg (половин чифт р.42) +/- 3% t.</t>
  </si>
  <si>
    <t>0,86 kg (половин чифт р.42) +/- 3% t.</t>
  </si>
  <si>
    <t>1,00 kg (половин чифт р.42) +/- 3% t.</t>
  </si>
  <si>
    <t>0,95 kg (половин чифт р.42) +/- 3% t.</t>
  </si>
  <si>
    <t>0,71 kg (половин чифт р.42) +/- 3% t.</t>
  </si>
  <si>
    <t>0,89 kg (половин чифт р.42) +/- 3% t.</t>
  </si>
  <si>
    <t>0,80 kg (половин чифт р.42) +/- 3% t.</t>
  </si>
  <si>
    <t>0,43 kg (половин чифт р.42) +/- 3% t.</t>
  </si>
  <si>
    <t>0,62 kg (половин чифт р.42) +/- 3% t.</t>
  </si>
  <si>
    <t>1,02 kg (половин чифт р.42) +/- 3% t.</t>
  </si>
  <si>
    <t>1,27 kg (половин чифт р.42) +/- 3% t.</t>
  </si>
  <si>
    <t>1,25 kg (половин чифт р.42) +/- 3% t.</t>
  </si>
  <si>
    <t>1,18 kg (половин чифт р.42) +/- 3% t.</t>
  </si>
  <si>
    <t>1,33 kg (половин чифт р.42) +/- 3% t.</t>
  </si>
  <si>
    <t>0,94 kg (половин чифт р.42) +/- 3% t.</t>
  </si>
  <si>
    <t>0,41 kg (половин чифт р.42) +/- 3% t.</t>
  </si>
  <si>
    <t>0,53 kg (половин чифт р.42) +/- 3% t.</t>
  </si>
  <si>
    <t>0,51 kg (половин чифт р.42) +/- 3% t.</t>
  </si>
  <si>
    <t>0,61 kg (половин чифт р.42) +/- 3% t.</t>
  </si>
  <si>
    <t>0,66 kg (половин чифт р.42) +/- 3% t.</t>
  </si>
  <si>
    <t>0,44 kg (половин чифт р.38) +/- 3% t.</t>
  </si>
  <si>
    <t>0,40 kg (половин чифт р.42) +/- 3% t.</t>
  </si>
  <si>
    <t>0,25 kg (половин чифт р.37) +/- 3% t.</t>
  </si>
  <si>
    <t>0,19 kg (половин чифт р.37) +/- 3% t.</t>
  </si>
  <si>
    <t>0,44 kg (половин чифт р.42) +/- 3% t.</t>
  </si>
  <si>
    <t>0,46 kg (половин чифт р.42) +/- 3% t.</t>
  </si>
  <si>
    <t>0,48 kg (половин чифт р.42) +/- 3% t.</t>
  </si>
  <si>
    <t>0,45 kg (половин чифт р.42) +/- 3% t.</t>
  </si>
  <si>
    <t>0,57 kg (половин чифт р.42) +/- 3% t.</t>
  </si>
  <si>
    <t>0,26 kg (половин чифт р.42) +/- 3% t.</t>
  </si>
  <si>
    <t>0,38 kg (половин чифт р.42) +/- 3% t.</t>
  </si>
  <si>
    <t>0,35 kg (половин чифт р.42) +/- 3% t.</t>
  </si>
  <si>
    <t>0,30 kg (половин чифт р.37) +/- 3% t.</t>
  </si>
  <si>
    <t>0,32 kg (половин чифт р.37) +/- 3% t.</t>
  </si>
  <si>
    <t>0,23 kg (половин чифт р.37) +/- 3% t.</t>
  </si>
  <si>
    <t>0,31 kg (половин чифт р.42) +/- 3% t.</t>
  </si>
  <si>
    <t>0,05 kg (половин чифт р.44-46) +/- 3% t.</t>
  </si>
  <si>
    <t>0,24 kg (половин чифт р.37) +/- 3% t.</t>
  </si>
  <si>
    <t>0,22 kg (половин чифт р.37) +/- 3% t.</t>
  </si>
  <si>
    <t>0,42 kg (половин чифт р.42) +/- 3% t.</t>
  </si>
  <si>
    <t>0,34 kg (половин чифт р.37) +/- 3% t.</t>
  </si>
  <si>
    <t>0,36 kg (половин чифт р.42) +/- 3% t.</t>
  </si>
  <si>
    <t>0,37 kg (половин чифт р.42) +/- 3% t.</t>
  </si>
  <si>
    <t>0,25 kg (половин чифт р.42) +/- 3% t.</t>
  </si>
  <si>
    <t>0,28 kg (половин чифт р.37) +/- 3% t.</t>
  </si>
  <si>
    <t>0,29 kg (половин чифт р.37) +/- 3% t.</t>
  </si>
  <si>
    <t>0,21 kg (половин чифт р.37) +/- 3% t.</t>
  </si>
  <si>
    <t>0,26 kg (половин чифт р.37) +/- 3% t.</t>
  </si>
  <si>
    <t>0,27 kg (половин чифт р.37) +/- 3% t.</t>
  </si>
  <si>
    <t>0,34 kg (половин чифт р.42) +/- 3% t.</t>
  </si>
  <si>
    <t>0,30 kg (половин чифт р.42) +/- 3% t.</t>
  </si>
  <si>
    <t>0,28 kg (половин чифт р.42) +/- 3% t.</t>
  </si>
  <si>
    <t>0,33 kg (половин чифт р.42) +/- 3% t.</t>
  </si>
  <si>
    <t>0,38 kg (половин чифт р.41/42) +/- 3% t.</t>
  </si>
  <si>
    <t>0,26 kg (половин чифт р.38) +/- 3% t.</t>
  </si>
  <si>
    <t>0,29 kg (половин чифт р.40) +/- 3% t.</t>
  </si>
  <si>
    <t>0,69 kg (половин чифт р.42) +/- 3% t.</t>
  </si>
  <si>
    <t>0,32 kg (половин чифт р.42) +/- 3% t.</t>
  </si>
  <si>
    <t>0,28 kg (половин чифт р.40) +/- 3% t.</t>
  </si>
  <si>
    <t>0,40 kg (половин чифт р.37) +/- 3% t.</t>
  </si>
  <si>
    <t>0,43 kg (половин чифт р.37) +/- 3% t.</t>
  </si>
  <si>
    <t>0,76 kg (половин чифт р.42) +/- 3% t.</t>
  </si>
  <si>
    <t>0,20 kg (половин чифт р.37) +/- 3% t.</t>
  </si>
  <si>
    <t>0,31 kg (половин чифт р.40) +/- 3% t.</t>
  </si>
  <si>
    <t>0,30 kg (половин чифт р.39) +/- 3% t.</t>
  </si>
  <si>
    <t>0,31 kg (половин чифт р.37) +/- 3% t.</t>
  </si>
  <si>
    <t>0,39 kg (половин чифт р.37) +/- 3% t.</t>
  </si>
  <si>
    <t>0,36 kg (половин чифт р.37) +/- 3% t.</t>
  </si>
  <si>
    <t>0,71 kg (половин чифт) +/- 3% t.</t>
  </si>
  <si>
    <t>0,66 kg (половин чифт) +/- 3% t.</t>
  </si>
  <si>
    <t>0,69 kg (половин чифт) +/- 3% t.</t>
  </si>
  <si>
    <t>0,77 kg (половин чифт) +/- 3% t.</t>
  </si>
  <si>
    <t>0,65 kg (половин чифт) +/- 3% t.</t>
  </si>
  <si>
    <t>0,68 kg (половин чифт) +/- 3% t.</t>
  </si>
  <si>
    <t>0,62 kg (половин чифт) +/- 3% t.</t>
  </si>
  <si>
    <t>0,64 kg (половин чифт) +/- 3% t.</t>
  </si>
  <si>
    <t>0,63 kg (половин чифт) +/- 3% t.</t>
  </si>
  <si>
    <t>0,67 kg (половин чифт) +/- 3% t.</t>
  </si>
  <si>
    <t>0,73 kg (половин чифт) +/- 3% t.</t>
  </si>
  <si>
    <t>0,58 kg (половин чифт) +/- 3% t.</t>
  </si>
  <si>
    <t>0,60 kg (половин чифт) +/- 3% t.</t>
  </si>
  <si>
    <t>универсален</t>
  </si>
  <si>
    <t>RUBBER 02-0970111</t>
  </si>
  <si>
    <t>RUBBER 02-0970119</t>
  </si>
  <si>
    <t>RUBBER 02-3970111</t>
  </si>
  <si>
    <t>RUBBER 02-0009100</t>
  </si>
  <si>
    <t>RUBBER 02-0009110</t>
  </si>
  <si>
    <t>RUBBER 02-0009150</t>
  </si>
  <si>
    <t>RUBBER 02-0009200</t>
  </si>
  <si>
    <t>RUBBER 02-0009250</t>
  </si>
  <si>
    <t>RUBBER 02-0009252</t>
  </si>
  <si>
    <t>RUBBER 02-0009300</t>
  </si>
  <si>
    <t>RUBBER 02-0009310</t>
  </si>
  <si>
    <t>HIGH ORIGINAL 02-0007001</t>
  </si>
  <si>
    <t>HIGH ORIGINAL 02-0007002</t>
  </si>
  <si>
    <t>HIGH ORIGINAL 02-0007008</t>
  </si>
  <si>
    <t>HIGH ORIGINAL 02-0007009</t>
  </si>
  <si>
    <t>RUBBER 02-0005100</t>
  </si>
  <si>
    <t>RUBBER 02-0005150</t>
  </si>
  <si>
    <t>RUBBER 02-0005200</t>
  </si>
  <si>
    <t>RUBBER 02-0005250</t>
  </si>
  <si>
    <t>RUBBER 02-0005300</t>
  </si>
  <si>
    <t>RUBBER 02-0005310</t>
  </si>
  <si>
    <t>STRATUS COMMANDER 01-048633</t>
  </si>
  <si>
    <t>LOWI 01-051982</t>
  </si>
  <si>
    <t>982 обувки LOWI черни</t>
  </si>
  <si>
    <t>CROSS LOW 01-035124U</t>
  </si>
  <si>
    <t>GROM LIGHT LOW 01-025371</t>
  </si>
  <si>
    <t>GROM LIGHT LOW 01-015371</t>
  </si>
  <si>
    <t>CROSS LOW 01-015124</t>
  </si>
  <si>
    <t>UNIQUE LOW 01-010924</t>
  </si>
  <si>
    <t>CARD</t>
  </si>
  <si>
    <t>https://protektor.sai.pl/bin/97530ec1-99a2-49bc-b0fe-75c5ee0df712</t>
  </si>
  <si>
    <t>https://protektor.sai.pl/bin/362082d6-8560-4908-878e-6429020cb85b</t>
  </si>
  <si>
    <t>https://protektor.sai.pl/bin/8c046fef-8eec-4d5a-b448-2d4f048a14c8</t>
  </si>
  <si>
    <t>https://protektor.sai.pl/bin/2459dbf7-c97e-4903-990f-59c09509c1c0</t>
  </si>
  <si>
    <t>https://protektor.sai.pl/bin/903a7698-7769-4fc6-bb5d-ac3b4dfc6cfd</t>
  </si>
  <si>
    <t>https://protektor.sai.pl/bin/984df132-6ab3-4645-a689-6b0db07ec581</t>
  </si>
  <si>
    <t>https://protektor.sai.pl/bin/f998556a-57ee-411d-844e-d0601e5b25ce</t>
  </si>
  <si>
    <t>https://protektor.sai.pl/bin/3efd726d-19f5-4135-b210-b44db58059d9</t>
  </si>
  <si>
    <t>https://protektor.sai.pl/bin/682938d0-e86b-4446-b20e-9f5cd1febea6</t>
  </si>
  <si>
    <t>https://protektor.sai.pl/bin/bfa4b7cf-34ea-4ec9-999d-742bfca92cae</t>
  </si>
  <si>
    <t>https://protektor.sai.pl/bin/d7202245-4b90-493f-bb48-0b6f9a904e8d</t>
  </si>
  <si>
    <t>https://protektor.sai.pl/bin/abb611a9-a4f0-4531-aff4-2dac8e771682</t>
  </si>
  <si>
    <t>https://protektor.sai.pl/bin/15868fa3-77f0-4c3c-9419-f0bc618b312e</t>
  </si>
  <si>
    <t>https://protektor.sai.pl/bin/a045f333-2d6c-472c-b50e-f4c73a85528a</t>
  </si>
  <si>
    <t>https://protektor.sai.pl/bin/d9bdbc76-a175-4207-80fe-5ec9e11f1705</t>
  </si>
  <si>
    <t>https://protektor.sai.pl/bin/9272722a-d033-4594-99e6-142abef1d75d</t>
  </si>
  <si>
    <t>https://protektor.sai.pl/bin/a5338c0f-5f52-483e-91cc-d528981367d2</t>
  </si>
  <si>
    <t>https://protektor.sai.pl/bin/732c179f-268a-4968-bb18-a43636d55134</t>
  </si>
  <si>
    <t>https://protektor.sai.pl/bin/6cd75e2b-50c4-426e-ac11-1eab0ab7bb6f</t>
  </si>
  <si>
    <t>https://protektor.sai.pl/bin/8db32f1c-e992-40b8-bcf6-57fd668f8068</t>
  </si>
  <si>
    <t>https://protektor.sai.pl/bin/ac756eb4-eba9-43c1-936a-5ed924682294</t>
  </si>
  <si>
    <t>https://protektor.sai.pl/bin/8650054e-7fc5-408a-b3c8-1270bf77ef35</t>
  </si>
  <si>
    <t>https://protektor.sai.pl/bin/4a1214a7-7570-4d77-ace8-5fa331afc3b8</t>
  </si>
  <si>
    <t>https://protektor.sai.pl/bin/2088c4fd-b214-4d84-8f05-861100a4eb9f</t>
  </si>
  <si>
    <t>https://protektor.sai.pl/bin/3a73f1c3-c7bd-4307-81a3-b3ce3bb54b29</t>
  </si>
  <si>
    <t>https://protektor.sai.pl/bin/de3bb1d4-69e7-4960-8624-6c2bd94992a9</t>
  </si>
  <si>
    <t>https://protektor.sai.pl/bin/6e52f117-a68d-4202-8df9-8f1d5c229f00</t>
  </si>
  <si>
    <t>https://protektor.sai.pl/bin/b7a331d7-255b-4e49-92e0-0e8a1bf97ae7</t>
  </si>
  <si>
    <t>https://protektor.sai.pl/bin/a959b80c-8751-41ce-9063-07732fbfd11c</t>
  </si>
  <si>
    <t>https://protektor.sai.pl/bin/dbeced73-7afd-434e-b64d-1262bbd80ea2</t>
  </si>
  <si>
    <t>https://protektor.sai.pl/bin/9950c477-415a-454b-9190-c13b54d92c37</t>
  </si>
  <si>
    <t>https://protektor.sai.pl/bin/12f35ab7-7b10-4ca3-9e37-31504c64e7c4</t>
  </si>
  <si>
    <t>https://protektor.sai.pl/bin/326d15a8-f2ae-49a8-b4ed-9c7c530b6dc3</t>
  </si>
  <si>
    <t>https://protektor.sai.pl/bin/ea903060-6b48-4bca-b8e0-af4ff892f60c</t>
  </si>
  <si>
    <t>https://protektor.sai.pl/bin/b42e7d57-33cb-4095-8d43-015bd58100e4</t>
  </si>
  <si>
    <t>https://protektor.sai.pl/bin/7dd39bd7-1811-45de-aa81-88ed3f4d9570</t>
  </si>
  <si>
    <t>https://protektor.sai.pl/bin/53fe36e4-4143-4698-a34a-dd752f8ed5dd</t>
  </si>
  <si>
    <t>https://protektor.sai.pl/bin/802019d0-c4d6-4e38-9531-85455102b6a3</t>
  </si>
  <si>
    <t>https://protektor.sai.pl/bin/147264f4-7f1a-48cd-81db-56045a8c0d81</t>
  </si>
  <si>
    <t>https://protektor.sai.pl/bin/a94806ae-0761-4f95-aa83-699a692891a5</t>
  </si>
  <si>
    <t>https://protektor.sai.pl/bin/05bf5cd2-75f9-4f9d-8496-576563c42bda</t>
  </si>
  <si>
    <t>https://protektor.sai.pl/bin/b3c90d92-73ef-4532-b894-c37d389ad71a</t>
  </si>
  <si>
    <t>https://protektor.sai.pl/bin/9a10e9b1-513e-4e47-b425-72ed6303daa0</t>
  </si>
  <si>
    <t>https://protektor.sai.pl/bin/de3db04c-3934-412e-8270-d43eb4c417d5</t>
  </si>
  <si>
    <t>https://protektor.sai.pl/bin/2ae08895-8e1d-48a2-a82e-96ee8fe0ffa6</t>
  </si>
  <si>
    <t>https://protektor.sai.pl/bin/601c2550-eb87-462c-b9f2-5ef15ca0b63d</t>
  </si>
  <si>
    <t>https://protektor.sai.pl/bin/6021a8ac-1336-4951-8d33-8cf5f6afb632</t>
  </si>
  <si>
    <t>https://protektor.sai.pl/bin/bf95ee00-0571-41fa-824f-b9206722cc1a</t>
  </si>
  <si>
    <t>https://protektor.sai.pl/bin/d3e60abb-d9a5-4999-81e8-42c38c4832f0</t>
  </si>
  <si>
    <t>https://protektor.sai.pl/bin/0633ef9c-af78-42c7-9dea-c5c2e368354a</t>
  </si>
  <si>
    <t>https://protektor.sai.pl/bin/8de38ad8-6fdc-4186-b047-f48fbd1cb217</t>
  </si>
  <si>
    <t>https://protektor.sai.pl/bin/04b994d5-37c5-4533-88ad-5053c4b5f02a</t>
  </si>
  <si>
    <t>https://protektor.sai.pl/bin/9e52e99b-ed21-4441-b6e5-feecd8028824</t>
  </si>
  <si>
    <t>https://protektor.sai.pl/bin/c22eda3f-fdd1-467b-8190-280ebe7b319c</t>
  </si>
  <si>
    <t>https://protektor.sai.pl/bin/d1a683af-95ce-40ff-8cd4-06f1a7a63e1e</t>
  </si>
  <si>
    <t>https://protektor.sai.pl/bin/d64f298a-418c-466e-84ec-31d433f1ff67</t>
  </si>
  <si>
    <t>https://protektor.sai.pl/bin/ae09f583-5d9a-470a-87c7-0491bdc6dbe6</t>
  </si>
  <si>
    <t>https://protektor.sai.pl/bin/c54364e2-6c88-405b-94d4-483b53da8344</t>
  </si>
  <si>
    <t>https://protektor.sai.pl/bin/c0ff15af-d93c-4908-b949-df91a46bb6ed</t>
  </si>
  <si>
    <t>https://protektor.sai.pl/bin/839574f6-04fa-4a1a-b176-8624f26e72a5</t>
  </si>
  <si>
    <t>https://protektor.sai.pl/bin/76ee5c42-19f2-4f8e-811d-4e7399ec88bc</t>
  </si>
  <si>
    <t>https://protektor.sai.pl/bin/9aa9b80a-cbd0-49dc-af2c-8baabef63c1a</t>
  </si>
  <si>
    <t>https://protektor.sai.pl/bin/a0aede8e-aa88-497a-bec5-d6b5179d59fe</t>
  </si>
  <si>
    <t>https://protektor.sai.pl/bin/0a937215-050b-4028-8e29-c6cc94825836</t>
  </si>
  <si>
    <t>https://protektor.sai.pl/bin/2ba6b306-f81e-4960-b599-3d4a272b8b59</t>
  </si>
  <si>
    <t>https://protektor.sai.pl/bin/f1ab42b1-072e-4994-8d57-5535d7afc086</t>
  </si>
  <si>
    <t>https://protektor.sai.pl/bin/b28513a6-73f0-4869-9042-d19b4107a683</t>
  </si>
  <si>
    <t>https://protektor.sai.pl/bin/20fc6f37-3d8b-4819-bc32-bd510ea035d1</t>
  </si>
  <si>
    <t>https://protektor.sai.pl/bin/37403af3-fc9f-4039-b70a-0369821ec325</t>
  </si>
  <si>
    <t>https://protektor.sai.pl/bin/c5f849ea-05e3-4fa7-bbc4-55e0dbd19521</t>
  </si>
  <si>
    <t>https://protektor.sai.pl/bin/45e9a607-48ef-4f27-b5e9-0b965127de33</t>
  </si>
  <si>
    <t>https://protektor.sai.pl/bin/632d270e-9214-4cb4-b356-6d5850d9ad6c</t>
  </si>
  <si>
    <t>https://protektor.sai.pl/bin/a90a4909-aba9-477b-9469-3618e30ad809</t>
  </si>
  <si>
    <t>https://protektor.sai.pl/bin/bc162980-75c2-42ce-9c3e-a7afcfe4f000</t>
  </si>
  <si>
    <t>https://protektor.sai.pl/bin/bd7900c0-ec14-4352-bd13-1a0d16665934</t>
  </si>
  <si>
    <t>https://protektor.sai.pl/bin/88dbce6e-5862-4470-ba6e-b131aabba997</t>
  </si>
  <si>
    <t>https://protektor.sai.pl/bin/02b00c50-2a76-485d-b886-4085c932495e</t>
  </si>
  <si>
    <t>https://protektor.sai.pl/bin/6178a882-bc41-401e-a891-44d30c783b4c</t>
  </si>
  <si>
    <t>https://protektor.sai.pl/bin/05c168b3-6f00-49fa-92e3-bb5fac0c47e8</t>
  </si>
  <si>
    <t>https://protektor.sai.pl/bin/4c2e4cac-505b-4ced-9e2b-53560e281c81</t>
  </si>
  <si>
    <t>https://protektor.sai.pl/bin/b6ddfa99-2c66-4071-b20c-2d5ced3f750d</t>
  </si>
  <si>
    <t>https://protektor.sai.pl/bin/8de8269e-d748-4bb6-889f-709153c1d4f5</t>
  </si>
  <si>
    <t>https://protektor.sai.pl/bin/77fe6728-5b31-41ca-845f-644cee5a5d52</t>
  </si>
  <si>
    <t>https://protektor.sai.pl/bin/9968369d-d0af-4c1f-aa60-b8df04b7c3bd</t>
  </si>
  <si>
    <t>https://protektor.sai.pl/bin/54bd9747-0f1c-4f60-af4f-c4c98efabbfb</t>
  </si>
  <si>
    <t>https://protektor.sai.pl/bin/56663438-e417-41f2-b0ac-a90cb9bd0de5</t>
  </si>
  <si>
    <t>https://protektor.sai.pl/bin/5262c3e9-7f85-4098-83c4-3256147e754a</t>
  </si>
  <si>
    <t>https://protektor.sai.pl/bin/3a924b10-a85e-412a-8515-636eff0a8b9f</t>
  </si>
  <si>
    <t>https://protektor.sai.pl/bin/68663731-87df-4a6e-8240-b500d72894b7</t>
  </si>
  <si>
    <t>https://protektor.sai.pl/bin/4afffc6a-4da4-4622-9335-9d4afce1f8fb</t>
  </si>
  <si>
    <t>https://protektor.sai.pl/bin/a2c5000d-70fa-421e-979e-db07d4785282</t>
  </si>
  <si>
    <t>https://protektor.sai.pl/bin/c8014ef1-5ab3-4ea1-8967-69002647a72e</t>
  </si>
  <si>
    <t>https://protektor.sai.pl/bin/a68a998a-92af-40f9-869e-8829a3125055</t>
  </si>
  <si>
    <t>https://protektor.sai.pl/bin/07cb741f-081d-4c8e-9c61-aaab6bd4f9d2</t>
  </si>
  <si>
    <t>https://protektor.sai.pl/bin/39e4bcd5-b956-42ed-a72f-d6b1ebb8532c</t>
  </si>
  <si>
    <t>https://protektor.sai.pl/bin/076109c0-c3c4-4ad0-9459-e05b256f4005</t>
  </si>
  <si>
    <t>https://protektor.sai.pl/bin/6f2f6103-3548-4198-a135-7b5d6db6c1ff</t>
  </si>
  <si>
    <t>https://protektor.sai.pl/bin/108ab281-41ae-49a3-948e-3bc56a817ed2</t>
  </si>
  <si>
    <t>https://protektor.sai.pl/bin/da6d1cea-8fc2-46ac-85c3-98ede9ee4e61</t>
  </si>
  <si>
    <t>https://protektor.sai.pl/bin/99553024-472a-4acc-ba7f-6be2d8dff907</t>
  </si>
  <si>
    <t>https://protektor.sai.pl/bin/5934b882-3d32-4521-ad4d-424b6675ef53</t>
  </si>
  <si>
    <t>https://protektor.sai.pl/bin/1410fdbc-7b65-43bb-b0c2-d3e36569de1a</t>
  </si>
  <si>
    <t>https://protektor.sai.pl/bin/5493522f-d575-4696-a65e-16d279286ced</t>
  </si>
  <si>
    <t>https://protektor.sai.pl/bin/6f2fcc99-601a-4206-8681-fe92d49e5e5a</t>
  </si>
  <si>
    <t>https://protektor.sai.pl/bin/08f5ca53-5ae5-4405-9307-17a9ad3b40ff</t>
  </si>
  <si>
    <t>https://protektor.sai.pl/bin/efd260e5-ad29-443a-8b2f-938b3b6aa4c8</t>
  </si>
  <si>
    <t>https://protektor.sai.pl/bin/f4ff3887-b8bc-44b0-a8ac-9043ac0d8d55</t>
  </si>
  <si>
    <t>https://protektor.sai.pl/bin/e9e4f09e-670d-46db-847e-b539b77532e2</t>
  </si>
  <si>
    <t>https://protektor.sai.pl/bin/00a22010-3134-4446-ba97-179ef04395fd</t>
  </si>
  <si>
    <t>https://protektor.sai.pl/bin/fd8062ff-c846-42f4-980a-3856dd715fe4</t>
  </si>
  <si>
    <t>https://protektor.sai.pl/bin/958085e4-fd23-49b9-b616-1e4beea4f3fd</t>
  </si>
  <si>
    <t>https://protektor.sai.pl/bin/44339f1d-71d2-4bed-bef4-b2110bfa1e1c</t>
  </si>
  <si>
    <t>https://protektor.sai.pl/bin/8c8900c9-eaba-4d41-8b11-539280cbc995</t>
  </si>
  <si>
    <t>https://protektor.sai.pl/bin/0be174c0-5b5c-4925-8130-dd48caf1f84a</t>
  </si>
  <si>
    <t>https://protektor.sai.pl/bin/5d0f52f9-bdb4-4152-bfca-b16132a375d9</t>
  </si>
  <si>
    <t>https://protektor.sai.pl/bin/76dd5cee-e42b-4c0b-992d-7e30bf9e6909</t>
  </si>
  <si>
    <t>https://protektor.sai.pl/bin/3a5a6668-e50f-436a-a8b0-a6bd1672653b</t>
  </si>
  <si>
    <t>https://protektor.sai.pl/bin/cc3ddb0a-df90-4980-bd3d-a0c813c90c96</t>
  </si>
  <si>
    <t>https://protektor.sai.pl/bin/d2a10ba9-11c8-4cac-96ae-942413113e9a</t>
  </si>
  <si>
    <t>https://protektor.sai.pl/bin/9d7b8dcf-cc24-4b6d-86c7-3ef8493d244f</t>
  </si>
  <si>
    <t>https://protektor.sai.pl/bin/63a96085-108c-4b31-95ac-3e3c31e4f90b</t>
  </si>
  <si>
    <t>https://protektor.sai.pl/bin/fcd96481-b0f2-4706-9794-aba42c5dfbc0</t>
  </si>
  <si>
    <t>https://protektor.sai.pl/bin/0206be8b-7cb6-43f6-b54a-dc48dc55ac27</t>
  </si>
  <si>
    <t>https://protektor.sai.pl/bin/3094ef33-6482-4b16-a2cb-1355ee3b2757</t>
  </si>
  <si>
    <t>https://protektor.sai.pl/bin/92e7852c-256a-4ee9-841f-ed459ca0850d</t>
  </si>
  <si>
    <t>https://protektor.sai.pl/bin/ec3921c5-73d8-495a-9bf6-d03f89a2dd5a</t>
  </si>
  <si>
    <t>https://protektor.sai.pl/bin/be503613-7fb4-44fe-ad74-2741cf96fdbd</t>
  </si>
  <si>
    <t>https://protektor.sai.pl/bin/c3b8d853-ead9-47dc-868b-729b484182a9</t>
  </si>
  <si>
    <t>https://protektor.sai.pl/bin/279edc40-0b2e-49b8-93bc-2b05dfa610bd</t>
  </si>
  <si>
    <t>https://protektor.sai.pl/bin/93161bfa-2be9-44ee-89f9-400c663783f1</t>
  </si>
  <si>
    <t>https://protektor.sai.pl/bin/5847481d-9203-4982-ba07-feac5e68f04a</t>
  </si>
  <si>
    <t>https://protektor.sai.pl/bin/6493f144-1d70-44a6-89db-9810b3f3f049</t>
  </si>
  <si>
    <t>https://protektor.sai.pl/bin/d20c454b-c1d0-4bc8-9a27-ab0eb0b8ebef</t>
  </si>
  <si>
    <t>https://protektor.sai.pl/bin/0795600d-2955-47c0-9b27-8a683215fb18</t>
  </si>
  <si>
    <t>https://protektor.sai.pl/bin/74f1b30f-4739-4021-bc59-a8fba6065874</t>
  </si>
  <si>
    <t>https://protektor.sai.pl/bin/60561f3d-1ef4-42f6-9938-ed4b285a6a42</t>
  </si>
  <si>
    <t>https://protektor.sai.pl/bin/769f59a8-37ee-4fc2-b48b-6c44c1068af1</t>
  </si>
  <si>
    <t>https://protektor.sai.pl/bin/4df29e62-6b1d-4f45-820c-e32b046f20ea</t>
  </si>
  <si>
    <t>https://protektor.sai.pl/bin/819152ec-d7a9-4094-a0bf-a83f0ab29052</t>
  </si>
  <si>
    <t>https://protektor.sai.pl/bin/fc6eab53-2915-4ab0-b3d6-820c018d186a</t>
  </si>
  <si>
    <t>https://protektor.sai.pl/bin/7d9f3517-e032-4ffc-a528-1e5c53af125d</t>
  </si>
  <si>
    <t>https://protektor.sai.pl/bin/74ce6cd1-9cec-46f3-9980-a7b7a19f3959</t>
  </si>
  <si>
    <t>https://protektor.sai.pl/bin/ac699572-fa90-43c6-ad12-787314d8d234</t>
  </si>
  <si>
    <t>https://protektor.sai.pl/bin/652d3cd7-086c-410d-8a11-33edeeaddde8</t>
  </si>
  <si>
    <t>https://protektor.sai.pl/bin/8c329733-c846-48b5-8d44-62438cd298e9</t>
  </si>
  <si>
    <t>https://protektor.sai.pl/bin/6cfdcc7c-15c6-47f9-a006-05a493e39845</t>
  </si>
  <si>
    <t>https://protektor.sai.pl/bin/47da91de-e0ca-4729-8bb3-bbc9e85c17e1</t>
  </si>
  <si>
    <t>https://protektor.sai.pl/bin/ae025dec-6dac-41a8-b894-c2f037b0fdd8</t>
  </si>
  <si>
    <t>https://protektor.sai.pl/bin/88a08494-a376-4e23-be09-ade518d5bf06</t>
  </si>
  <si>
    <t>https://protektor.sai.pl/bin/d93cd560-ae60-4556-8453-0c1eabe22137</t>
  </si>
  <si>
    <t>https://protektor.sai.pl/bin/f024dd8d-e7f8-4211-b23f-e65c33ff7f8f</t>
  </si>
  <si>
    <t>https://protektor.sai.pl/bin/165be9b9-da60-4165-a8d4-e6809dd80138</t>
  </si>
  <si>
    <t>https://protektor.sai.pl/bin/41fae9ba-a708-4473-8ce0-de7bef3cedbb</t>
  </si>
  <si>
    <t>https://protektor.sai.pl/bin/1e2301ce-24d3-47e0-a1df-4d60cf5d53d0</t>
  </si>
  <si>
    <t>https://protektor.sai.pl/bin/ae55f321-98d9-4f9e-8572-6d7bfc8192fa</t>
  </si>
  <si>
    <t>https://protektor.sai.pl/bin/b954d0ef-9d7f-4c29-8a63-c9ec557a3670</t>
  </si>
  <si>
    <t>https://protektor.sai.pl/bin/16dfa687-539d-4614-9ff3-847b80a739b2</t>
  </si>
  <si>
    <t>https://protektor.sai.pl/bin/74d73462-0220-46ae-ba2e-3142f4db5405</t>
  </si>
  <si>
    <t>https://protektor.sai.pl/bin/954cf60e-cfdc-43ce-8c65-825751021845</t>
  </si>
  <si>
    <t>https://protektor.sai.pl/bin/84565af7-f8f3-4b6b-80ae-afce572c7f6d</t>
  </si>
  <si>
    <t>https://protektor.sai.pl/bin/9a43e708-f03f-4d20-97f3-84d60288100d</t>
  </si>
  <si>
    <t>https://protektor.sai.pl/bin/1df95eb9-db1c-470f-9daf-a46c38663972</t>
  </si>
  <si>
    <t>https://protektor.sai.pl/bin/8bbb71ac-01d1-4644-bbb5-4e361c5e56b7</t>
  </si>
  <si>
    <t>https://protektor.sai.pl/bin/5fe39243-8f66-4300-8343-b81681e35714</t>
  </si>
  <si>
    <t>https://protektor.sai.pl/bin/2e5b10fa-62e7-4880-b1ac-4195fa24c72c</t>
  </si>
  <si>
    <t>https://protektor.sai.pl/bin/2fd145c4-15fe-4fbf-8bb2-393c15edacc0</t>
  </si>
  <si>
    <t>https://protektor.sai.pl/bin/7eefcae4-a327-4193-a6cd-a7cd102715fb</t>
  </si>
  <si>
    <t>https://protektor.sai.pl/bin/c0c042f4-fa1e-4e1c-b266-2422f320252d</t>
  </si>
  <si>
    <t>https://protektor.sai.pl/bin/0ecf32dd-3449-478f-9cff-39abf8393585</t>
  </si>
  <si>
    <t>https://protektor.sai.pl/bin/e86bba95-1909-45f7-ba71-278ca871cbec</t>
  </si>
  <si>
    <t>https://protektor.sai.pl/bin/e613adad-0018-4059-98c7-df7a8583a8ff</t>
  </si>
  <si>
    <t>https://protektor.sai.pl/bin/83edeaff-fbd6-42ce-955e-b11148932abf</t>
  </si>
  <si>
    <t>https://protektor.sai.pl/bin/79ccabb2-4e0a-4def-9599-ce3bd0db3305</t>
  </si>
  <si>
    <t>https://protektor.sai.pl/bin/3532550c-f3b4-4740-a258-218e4928f47b</t>
  </si>
  <si>
    <t>https://protektor.sai.pl/bin/a483bc07-24d5-4f65-a7ad-159a5b5bc37b</t>
  </si>
  <si>
    <t>https://protektor.sai.pl/bin/7a1306c1-e2bd-4c5a-a685-eb12f673b8d4</t>
  </si>
  <si>
    <t>https://protektor.sai.pl/bin/e9412dd5-2a1d-4b7f-9f2f-7b00866efcbf</t>
  </si>
  <si>
    <t>https://protektor.sai.pl/bin/66235ec3-616b-4068-977d-cbfe4256c060</t>
  </si>
  <si>
    <t>https://protektor.sai.pl/bin/ccb4dec6-7fdb-43c1-97fd-95371cc810ab</t>
  </si>
  <si>
    <t>https://protektor.sai.pl/bin/9074cda7-37c4-4ef8-a03b-a1dbacdef48f</t>
  </si>
  <si>
    <t>https://protektor.sai.pl/bin/74ebc6db-cebb-44b9-b55d-6084b707ecfa</t>
  </si>
  <si>
    <t>https://protektor.sai.pl/bin/06f13ef3-132d-4771-9360-23e0f149b856</t>
  </si>
  <si>
    <t>https://protektor.sai.pl/bin/9365170c-eeb0-4b06-9ad8-2e2b5e58ea90</t>
  </si>
  <si>
    <t>https://protektor.sai.pl/bin/4a99f6a4-7383-4d32-b9c7-ddec0c4d5329</t>
  </si>
  <si>
    <t>https://protektor.sai.pl/bin/549489a9-9445-4eb5-b87a-ac66a7be4e96</t>
  </si>
  <si>
    <t>https://protektor.sai.pl/bin/401b09a3-aa53-49d8-8810-063017cbf8d6</t>
  </si>
  <si>
    <t>https://protektor.sai.pl/bin/633bb58e-dac4-4dde-a149-57a0a3d82ffb</t>
  </si>
  <si>
    <t>https://protektor.sai.pl/bin/c683ee09-dac8-45b3-b472-a05b168c9b85</t>
  </si>
  <si>
    <t>https://protektor.sai.pl/bin/7c2dfa36-57e2-40c9-93eb-7bb7e6137bd1</t>
  </si>
  <si>
    <t>https://protektor.sai.pl/bin/ad5ed86d-3639-4ab7-9188-5ca692d031b4</t>
  </si>
  <si>
    <t>https://protektor.sai.pl/bin/b661f36d-2131-4277-9b19-4f2c5cb3c2bc</t>
  </si>
  <si>
    <t>https://protektor.sai.pl/bin/779df61f-1595-4ae0-9865-8a28e9b75ce0</t>
  </si>
  <si>
    <t>https://protektor.sai.pl/bin/98ab56d0-d67a-47bb-8717-a17214458d76</t>
  </si>
  <si>
    <t>https://protektor.sai.pl/bin/a57c55c3-2871-4cef-800e-87cbfcd7b693</t>
  </si>
  <si>
    <t>https://protektor.sai.pl/bin/c5853d72-f762-4f56-91c3-1a3f9ce36264</t>
  </si>
  <si>
    <t>https://protektor.sai.pl/bin/c6a22738-b385-4006-80ca-aa0ac9ef33ec</t>
  </si>
  <si>
    <t>https://protektor.sai.pl/bin/053599d4-946b-44e5-b08c-ccd1c9832c1c</t>
  </si>
  <si>
    <t>https://protektor.sai.pl/bin/ba1643fd-5e7c-4c16-9d98-b669ae2c58da</t>
  </si>
  <si>
    <t>https://protektor.sai.pl/bin/18cd6b54-7532-4c9c-a0eb-f26a90d8403b</t>
  </si>
  <si>
    <t>https://protektor.sai.pl/bin/0fbdcc7c-9cd6-4bb2-a082-c8227928d710</t>
  </si>
  <si>
    <t>https://protektor.sai.pl/bin/4afa2d17-453f-42d6-989f-d3b18fdd136b</t>
  </si>
  <si>
    <t>https://protektor.sai.pl/bin/7fe17f45-b0fa-4f0b-8662-42859587a807</t>
  </si>
  <si>
    <t>https://protektor.sai.pl/bin/e98f9ae0-5dc0-4fad-8536-82e7c22076cb</t>
  </si>
  <si>
    <t>https://protektor.sai.pl/bin/dccef2a4-f70c-410e-a54d-7d6df7d2b311</t>
  </si>
  <si>
    <t>https://protektor.sai.pl/bin/419e9756-8350-474c-9269-677d5d5566d8</t>
  </si>
  <si>
    <t>https://protektor.sai.pl/bin/12cc58a0-06ee-4af2-94c5-a0eadfc1a2d6</t>
  </si>
  <si>
    <t>https://protektor.sai.pl/bin/06e909a8-b1b0-45b1-b09a-7810d59fe0c2</t>
  </si>
  <si>
    <t>https://protektor.sai.pl/bin/ee491198-b78a-4dda-a0fa-43b52c90d0e3</t>
  </si>
  <si>
    <t>https://protektor.sai.pl/bin/55777012-36b1-4efb-90a0-6c10e2276bf9</t>
  </si>
  <si>
    <t>https://protektor.sai.pl/bin/3f31993f-573d-48a3-a443-68a01c67223e</t>
  </si>
  <si>
    <t>https://protektor.sai.pl/bin/ced74ac1-ed6e-43fb-bae1-4774a022588c</t>
  </si>
  <si>
    <t>https://protektor.sai.pl/bin/4c6e3eb0-6807-4bd3-a54a-e35ad60138bf</t>
  </si>
  <si>
    <t>https://protektor.sai.pl/bin/38532829-7456-47af-a79f-15426bcbcc6e</t>
  </si>
  <si>
    <t>https://protektor.sai.pl/bin/64dfe182-c233-4cf5-b4e5-c1d2a8759e41</t>
  </si>
  <si>
    <t>https://protektor.sai.pl/bin/13247750-197e-4573-9ce6-9b830b1eb71a</t>
  </si>
  <si>
    <t>https://protektor.sai.pl/bin/26160352-662f-43b4-9256-37e4d77ab337</t>
  </si>
  <si>
    <t>https://protektor.sai.pl/bin/3d41806d-62b3-49ee-89f8-a98f2c6cb948</t>
  </si>
  <si>
    <t>https://protektor.sai.pl/bin/4026dcdc-2254-41b1-a195-6b42b22c69e7</t>
  </si>
  <si>
    <t>https://protektor.sai.pl/bin/6f50e418-73bd-4993-a794-bac2e4f52db8</t>
  </si>
  <si>
    <t>https://protektor.sai.pl/bin/b468e6b5-672d-45de-af0a-f485cfa55d97</t>
  </si>
  <si>
    <t>https://protektor.sai.pl/bin/9cc9f00c-4d91-4611-a9a2-7cf0bb86e759</t>
  </si>
  <si>
    <t>https://protektor.sai.pl/bin/e9e58912-d701-4a19-a507-97b5be4967e8</t>
  </si>
  <si>
    <t>https://protektor.sai.pl/bin/8f7068e8-781a-4ad3-9e1b-30738e673e1f</t>
  </si>
  <si>
    <t>https://protektor.sai.pl/bin/4123478a-eff4-4d73-b2dd-1eed2cefdb8f</t>
  </si>
  <si>
    <t>https://protektor.sai.pl/bin/a832550e-5137-4516-8358-a2e0d5d41f16</t>
  </si>
  <si>
    <t>https://protektor.sai.pl/bin/6cb983df-6b8d-4857-8ace-4fbfb341a276</t>
  </si>
  <si>
    <t>https://protektor.sai.pl/bin/3f03fb0a-6933-4ec7-871d-0dce239f4db6</t>
  </si>
  <si>
    <t>https://protektor.sai.pl/bin/2ba1ed1f-8930-4545-880f-2f2be4e1faf5</t>
  </si>
  <si>
    <t>https://protektor.sai.pl/bin/2ab54a2f-ef53-4dce-b5c1-58aebbba29fa</t>
  </si>
  <si>
    <t>https://protektor.sai.pl/bin/711a1761-613f-4c11-a1d8-d65e24580c53</t>
  </si>
  <si>
    <t>https://protektor.sai.pl/bin/9f8744a2-959c-4b83-bd28-6b9dcb6f595c</t>
  </si>
  <si>
    <t>https://protektor.sai.pl/bin/061bd064-7c97-4649-9e3c-5fe0e8443a68</t>
  </si>
  <si>
    <t>https://protektor.sai.pl/bin/05fd3325-9d67-4d09-9098-209e7fdda212</t>
  </si>
  <si>
    <t>https://protektor.sai.pl/bin/cc935fc9-a6c6-4ff5-a9bf-f3d1f7c7bccf</t>
  </si>
  <si>
    <t>https://protektor.sai.pl/bin/9f3e0a2c-93d9-4176-942b-3c4b54fc415f</t>
  </si>
  <si>
    <t>https://protektor.sai.pl/bin/f2a548ab-01ba-4d8c-921f-48be889e7dc8</t>
  </si>
  <si>
    <t>https://protektor.sai.pl/bin/e6db5bca-444c-4367-92fe-d8ce9add4599</t>
  </si>
  <si>
    <t>https://protektor.sai.pl/bin/bc0c515a-fe2c-421e-832f-2f92d9bef878</t>
  </si>
  <si>
    <t>https://protektor.sai.pl/bin/01420a2f-46ab-44a5-9cea-30f3dd5230c1</t>
  </si>
  <si>
    <t>https://protektor.sai.pl/bin/1ed3eed0-c249-4322-8112-8148b325c6eb</t>
  </si>
  <si>
    <t>https://protektor.sai.pl/bin/bf63b107-f243-427a-bf82-715b4fcb7dc2</t>
  </si>
  <si>
    <t>https://protektor.sai.pl/bin/3332d9dc-2aa9-4bbd-b36f-1b7846732d4a</t>
  </si>
  <si>
    <t>https://protektor.sai.pl/bin/879e47fc-5028-44f5-82d0-e2583f6a85d8</t>
  </si>
  <si>
    <t>https://protektor.sai.pl/bin/1c48ffd1-5a9c-484b-8b4d-807d39615896</t>
  </si>
  <si>
    <t>https://protektor.sai.pl/bin/d5a38505-210c-41c5-9e78-b65847d48572</t>
  </si>
  <si>
    <t>https://protektor.sai.pl/bin/d38d8070-4bb9-4b7c-86f7-a68493ddc5cb</t>
  </si>
  <si>
    <t>https://protektor.sai.pl/bin/a681b5c4-70b1-4432-b0ad-f370ec13aa11</t>
  </si>
  <si>
    <t>https://protektor.sai.pl/bin/109fbbe3-9345-483d-ad98-da1140898997</t>
  </si>
  <si>
    <t>https://protektor.sai.pl/bin/613531f1-b208-4849-856a-d149d3b1d3f5</t>
  </si>
  <si>
    <t>https://protektor.sai.pl/bin/2bdde951-561e-4e2e-aeed-b52f198c1a7c</t>
  </si>
  <si>
    <t>https://protektor.sai.pl/bin/1214b2cb-6627-47f9-a393-9cb7f6c9c778</t>
  </si>
  <si>
    <t>https://protektor.sai.pl/bin/581b48d2-436a-4a32-897c-60b734623c66</t>
  </si>
  <si>
    <t>https://protektor.sai.pl/bin/d974170c-ae68-4686-9d51-4fba52a214b5</t>
  </si>
  <si>
    <t>https://protektor.sai.pl/bin/ff1db418-0730-4208-b94f-7c764e43871d</t>
  </si>
  <si>
    <t>https://protektor.sai.pl/bin/51e2a8f7-d94e-4e5d-94b0-0fb0faa2f297</t>
  </si>
  <si>
    <t>https://protektor.sai.pl/bin/88f165b9-7cf2-48da-872d-764eaea1b09c</t>
  </si>
  <si>
    <t>https://protektor.sai.pl/bin/ca143334-1f63-49f8-9b1d-9515185e6951</t>
  </si>
  <si>
    <t>https://protektor.sai.pl/bin/3be8c703-a545-4d0a-8d28-d97a2dac47d7</t>
  </si>
  <si>
    <t>https://protektor.sai.pl/bin/c3cad051-6785-4d7c-a8f0-88d550acefe8</t>
  </si>
  <si>
    <t>https://protektor.sai.pl/bin/6e96eb98-9517-419d-b0b2-5719841089e0</t>
  </si>
  <si>
    <t>https://protektor.sai.pl/bin/68bfc22f-8a1d-4aca-ace8-de0171a2e90b</t>
  </si>
  <si>
    <t>https://protektor.sai.pl/bin/7dcb656d-6edd-4025-9e51-592b37c9333a</t>
  </si>
  <si>
    <t>https://protektor.sai.pl/bin/54c15477-d20b-455b-a935-e106f215144c</t>
  </si>
  <si>
    <t>https://protektor.sai.pl/bin/ade57ae1-b021-4a77-99f4-181cf205f040</t>
  </si>
  <si>
    <t>https://protektor.sai.pl/bin/54866683-8b47-4c92-958a-f3f297d01fe6</t>
  </si>
  <si>
    <t>https://protektor.sai.pl/bin/f9b9f6e9-2e72-456d-9d5f-db284c1456dc</t>
  </si>
  <si>
    <t>https://protektor.sai.pl/bin/d413f00c-ccf6-4db6-b25e-20d296b2e883</t>
  </si>
  <si>
    <t>https://protektor.sai.pl/bin/63582421-beab-4518-9bc4-97c0f3b3c383</t>
  </si>
  <si>
    <t>https://protektor.sai.pl/bin/823f9747-0c2a-4ad8-981e-6b31f1865965</t>
  </si>
  <si>
    <t>https://protektor.sai.pl/bin/72f58aba-2354-446f-9267-a03f73d20d86</t>
  </si>
  <si>
    <t>https://protektor.sai.pl/bin/29fa5bb0-8c3c-4924-914f-fb263c91400b</t>
  </si>
  <si>
    <t>https://protektor.sai.pl/bin/e3d167d7-3364-492a-aa24-7b88e9c4b645</t>
  </si>
  <si>
    <t>https://protektor.sai.pl/bin/6e5f66db-b409-4994-8f52-bf28c211ea6c</t>
  </si>
  <si>
    <t>https://protektor.sai.pl/bin/ccf00fb8-5f3f-43c8-8b57-3eff894418f5</t>
  </si>
  <si>
    <t>https://protektor.sai.pl/bin/e02972cb-1cbb-4453-ae85-1356aab8c866</t>
  </si>
  <si>
    <t>https://protektor.sai.pl/bin/4a06db35-df4e-49bb-ae6c-81178442d26f</t>
  </si>
  <si>
    <t>https://protektor.sai.pl/bin/f64362e1-7495-4c7f-9c34-93d0719da338</t>
  </si>
  <si>
    <t>https://protektor.sai.pl/bin/8db9d1bd-37ea-4ec4-b399-9fec897168f8</t>
  </si>
  <si>
    <t>https://protektor.sai.pl/bin/34ec931f-9df5-4d29-a71d-52a420c439a5</t>
  </si>
  <si>
    <t>https://protektor.sai.pl/bin/19b32d82-eda2-4e87-ab40-14b9000ecfa0</t>
  </si>
  <si>
    <t>https://protektor.sai.pl/bin/be46c4c4-e04c-477f-8cfe-2320f93015ed</t>
  </si>
  <si>
    <t>https://protektor.sai.pl/bin/803098a9-4613-4af0-a5ab-eb687b48fa01</t>
  </si>
  <si>
    <t>https://protektor.sai.pl/bin/1f7acf35-660c-460a-bae7-a2d933b0928c</t>
  </si>
  <si>
    <t>https://protektor.sai.pl/bin/93b9d219-2964-499a-9428-7ebb9fcd28c0</t>
  </si>
  <si>
    <t>https://protektor.sai.pl/bin/b06c84d4-f241-4f35-8655-b62b7e9b113b</t>
  </si>
  <si>
    <t>https://protektor.sai.pl/bin/2b9e4152-f15b-41f2-af62-e1b97f9788fa</t>
  </si>
  <si>
    <t>https://protektor.sai.pl/bin/575b1e93-e598-4c92-a443-00957c545fc0</t>
  </si>
  <si>
    <t>https://protektor.sai.pl/bin/ac0fcb5e-0684-4382-a3a2-9936712459bf</t>
  </si>
  <si>
    <t>https://protektor.sai.pl/bin/bb74b157-7346-4bc0-adc2-38701a7492b0</t>
  </si>
  <si>
    <t>https://protektor.sai.pl/bin/f1aa5084-f98a-4283-b1fa-38e75fe7c4cb</t>
  </si>
  <si>
    <t>https://protektor.sai.pl/bin/6c1a2405-bff5-4ca3-b5c6-b8234d50c3c4</t>
  </si>
  <si>
    <t>https://protektor.sai.pl/bin/a424b3b9-903c-462d-8726-3a39793061af</t>
  </si>
  <si>
    <t>https://protektor.sai.pl/bin/2196a3ce-ae51-42f1-b1c3-bd8bb4a5daf5</t>
  </si>
  <si>
    <t>https://protektor.sai.pl/bin/2c854fd4-dbbb-42ea-b4b8-750b62e9e3f1</t>
  </si>
  <si>
    <t>https://protektor.sai.pl/bin/5ad07f82-096d-46d3-9de5-60807d917ca1</t>
  </si>
  <si>
    <t>https://protektor.sai.pl/bin/bf0d2f0f-0c91-4922-b090-c3bb9b20dedf</t>
  </si>
  <si>
    <t>https://protektor.sai.pl/bin/fb7bdad5-5717-4a9a-9c34-ad062025c96a</t>
  </si>
  <si>
    <t>https://protektor.sai.pl/bin/9c2236e4-e97e-4a35-9c02-d07261054b0c</t>
  </si>
  <si>
    <t>https://protektor.sai.pl/bin/40ad46f3-ee0a-4d65-b9bd-8e99075ffffc</t>
  </si>
  <si>
    <t>https://protektor.sai.pl/bin/99695e50-82e4-4f61-a16b-521b56cc069b</t>
  </si>
  <si>
    <t>https://protektor.sai.pl/bin/be2c5cc6-dc3a-428f-8c4c-7a1dd17003ca</t>
  </si>
  <si>
    <t>https://protektor.sai.pl/bin/2535c731-295b-4462-a8eb-248bda1f7576</t>
  </si>
  <si>
    <t>https://protektor.sai.pl/bin/41af0480-892d-435b-a658-9a0a53e14ae7</t>
  </si>
  <si>
    <t>https://protektor.sai.pl/bin/a50c94f6-fe5f-4c3a-9e72-1e76eafac19d</t>
  </si>
  <si>
    <t>https://protektor.sai.pl/bin/7fd80c9c-fa08-4f10-813d-140367c475f9</t>
  </si>
  <si>
    <t>https://protektor.sai.pl/bin/9ad82533-68a7-47ef-847f-a88266571a12</t>
  </si>
  <si>
    <t>https://protektor.sai.pl/bin/08628d4a-e851-4780-9b99-f3791f4c5192</t>
  </si>
  <si>
    <t>https://protektor.sai.pl/bin/b01e8aa0-d735-45b9-b16b-0b0838178d34</t>
  </si>
  <si>
    <t>https://protektor.sai.pl/bin/a2b139f4-3184-49af-936d-1e65a425bb3d</t>
  </si>
  <si>
    <t>https://protektor.sai.pl/bin/24fab90f-cf31-4bd2-a152-53c058f05374</t>
  </si>
  <si>
    <t>https://protektor.sai.pl/bin/754caaff-fb65-4fa5-9c5d-420fb3f3536a</t>
  </si>
  <si>
    <t>https://protektor.sai.pl/bin/bbdeb583-d2c2-4b10-9de7-7f6e0baa73ff</t>
  </si>
  <si>
    <t>https://protektor.sai.pl/bin/cb53ab6a-0313-4e23-9588-94dd63910af2</t>
  </si>
  <si>
    <t>https://protektor.sai.pl/bin/6663a326-b47f-4ac5-b0a4-8da3a584fcf0</t>
  </si>
  <si>
    <t>https://protektor.sai.pl/bin/32aa346a-753d-434a-b6b6-851393f934fc</t>
  </si>
  <si>
    <t>https://protektor.sai.pl/bin/f37e262b-3d34-4c8e-944b-5ddfeb5387ac</t>
  </si>
  <si>
    <t>https://protektor.sai.pl/bin/004ad2ac-b228-406f-ab6f-df82d610dede</t>
  </si>
  <si>
    <t>https://protektor.sai.pl/bin/3695c3a2-b485-402a-a410-e8a56143b38c</t>
  </si>
  <si>
    <t>https://protektor.sai.pl/bin/3058adb0-aee9-443b-9b5a-2fc3e398a28b</t>
  </si>
  <si>
    <t>https://protektor.sai.pl/bin/70e2fa58-af6f-49ef-9f68-785bea680b04</t>
  </si>
  <si>
    <t>https://protektor.sai.pl/bin/eb6612b2-ed25-4964-ba0c-ce1ea6d78efd</t>
  </si>
  <si>
    <t>https://protektor.sai.pl/bin/785bbaab-4b03-4100-9ed3-c9f420f7a9e8</t>
  </si>
  <si>
    <t>https://protektor.sai.pl/bin/0f291a08-6f44-4744-b56f-1fc3e82572a9</t>
  </si>
  <si>
    <t>https://protektor.sai.pl/bin/2119dde6-e47b-4fbd-9f8e-18ce095f0dfe</t>
  </si>
  <si>
    <t>https://protektor.sai.pl/bin/ac3faaa7-ab4e-4767-a54c-74b01aaac9a8</t>
  </si>
  <si>
    <t>https://protektor.sai.pl/bin/660acff3-9731-4f51-87f1-c2868dcce08d</t>
  </si>
  <si>
    <t>https://protektor.sai.pl/bin/8a794071-5860-4b88-98b6-c629a8b292ed</t>
  </si>
  <si>
    <t>https://protektor.sai.pl/bin/66fcc2ca-fe7e-48a3-9957-60916ffaa596</t>
  </si>
  <si>
    <t>https://protektor.sai.pl/bin/e3602593-e6f3-4791-98d2-cba8a0b99de9</t>
  </si>
  <si>
    <t>https://protektor.sai.pl/bin/2436ff37-2f9b-4c8c-959a-c8843d87f8e4</t>
  </si>
  <si>
    <t>https://protektor.sai.pl/bin/7b6ca91a-ca60-4cc9-9ceb-f17f7642c301</t>
  </si>
  <si>
    <t>https://protektor.sai.pl/bin/6b2b3e56-bcbc-4c5a-b7a3-8bead2124b75</t>
  </si>
  <si>
    <t>https://protektor.sai.pl/bin/1339a717-90c4-4b5f-ac89-e9acde870758</t>
  </si>
  <si>
    <t>https://protektor.sai.pl/bin/6aa78334-1670-4dff-9c94-0ea3763de443</t>
  </si>
  <si>
    <t>https://protektor.sai.pl/bin/c5ef9973-abd1-44f3-a27a-8323bac6c6e1</t>
  </si>
  <si>
    <t>https://protektor.sai.pl/bin/ac195d25-7176-4897-8e53-610277bcffe4</t>
  </si>
  <si>
    <t>https://protektor.sai.pl/bin/8dcfcb60-9cd3-4fa0-a88f-10273f5f20b0</t>
  </si>
  <si>
    <t>https://protektor.sai.pl/bin/a2a89af2-2cbc-48d2-8141-e93b4ed58b80</t>
  </si>
  <si>
    <t>https://protektor.sai.pl/bin/4503b861-be0a-4bbd-a56f-bcae4182ae25</t>
  </si>
  <si>
    <t>https://protektor.sai.pl/bin/7f0198ec-8c3f-4897-a022-0d0cd7266be6</t>
  </si>
  <si>
    <t>https://protektor.sai.pl/bin/e4454d3a-6fa1-4067-b39f-531f008b8a7b</t>
  </si>
  <si>
    <t>https://protektor.sai.pl/bin/4dce20f6-1180-4433-b6a8-abe687acbbb0</t>
  </si>
  <si>
    <t>https://protektor.sai.pl/bin/9f61ed8d-b5cd-44cd-90e0-3f1f284e912c</t>
  </si>
  <si>
    <t>https://protektor.sai.pl/bin/14a5bed6-a25b-4e22-8be1-5522c55960fb</t>
  </si>
  <si>
    <t>https://protektor.sai.pl/bin/a915444e-cf2e-40ba-b705-d734efd73245</t>
  </si>
  <si>
    <t>https://protektor.sai.pl/bin/9b1f901a-dadc-4983-a6f4-61451b7b8026</t>
  </si>
  <si>
    <t>https://protektor.sai.pl/bin/5edf5bcf-6447-4b61-b9e2-8ad620884cd9</t>
  </si>
  <si>
    <t>https://protektor.sai.pl/bin/e7de1a77-a52f-4fe9-aba4-1e067919808a</t>
  </si>
  <si>
    <t>https://protektor.sai.pl/bin/9d3b6fca-4854-4ae9-8ceb-05efd1657df4</t>
  </si>
  <si>
    <t>https://protektor.sai.pl/bin/f3bc4e27-c420-478f-b864-c53784fc9c05</t>
  </si>
  <si>
    <t>https://protektor.sai.pl/bin/ccd7c01a-d418-4745-a0bc-96ea2063d18b</t>
  </si>
  <si>
    <t>https://protektor.sai.pl/bin/da324b3f-13ed-40c9-823c-b2310a4b705b</t>
  </si>
  <si>
    <t>https://protektor.sai.pl/bin/37d32525-b64c-413a-ae6f-3214905ae463</t>
  </si>
  <si>
    <t>https://protektor.sai.pl/bin/82eee0b9-0174-4a33-9a0c-24a289374e28</t>
  </si>
  <si>
    <t>https://protektor.sai.pl/bin/1200f5a8-e4ed-472e-b599-81806996964b</t>
  </si>
  <si>
    <t>https://protektor.sai.pl/bin/d3d60a63-fffa-4646-a697-8e10440ed56d</t>
  </si>
  <si>
    <t>https://protektor.sai.pl/bin/2aa6e617-799c-4ae9-aa25-97891a97b59f</t>
  </si>
  <si>
    <t>https://protektor.sai.pl/bin/327d168a-31c9-49c7-8486-cd123d20c508</t>
  </si>
  <si>
    <t>https://protektor.sai.pl/bin/836eb98c-3385-4ac1-8f1e-13e003416e1c</t>
  </si>
  <si>
    <t>https://protektor.sai.pl/bin/e24fa93c-abb9-4479-b04b-603d4de2c163</t>
  </si>
  <si>
    <t>https://protektor.sai.pl/bin/8825f1d7-14ab-4e4b-8da5-4f9f739d226f</t>
  </si>
  <si>
    <t>https://protektor.sai.pl/bin/9051f240-a252-49e0-a37f-9ce0a8f06dd6</t>
  </si>
  <si>
    <t>https://protektor.sai.pl/bin/d74f6e74-0d09-4bab-a057-5b8792f1c1ce</t>
  </si>
  <si>
    <t>https://protektor.sai.pl/bin/bd480f5f-ca5e-4dc7-9372-c97fe1a85260</t>
  </si>
  <si>
    <t>https://protektor.sai.pl/bin/282b82e9-3777-4fde-b036-50896fdd47de</t>
  </si>
  <si>
    <t>https://protektor.sai.pl/bin/70de3ef9-ad7d-4019-b7c8-7ed57d6e3c5c</t>
  </si>
  <si>
    <t>https://protektor.sai.pl/bin/c7fcaa13-3dfe-4667-808f-5eddd079fb43</t>
  </si>
  <si>
    <t>https://protektor.sai.pl/bin/a9110710-54bf-443a-bb52-9c03d915d7a5</t>
  </si>
  <si>
    <t>https://protektor.sai.pl/bin/0e49b16d-55f0-410a-8fab-ae1372cbe28f</t>
  </si>
  <si>
    <t>https://protektor.sai.pl/bin/1a3a7426-a721-4af4-b424-85508823c0b1</t>
  </si>
  <si>
    <t>https://protektor.sai.pl/bin/fb0d1d41-e1c1-4cab-8af5-fbc42799d957</t>
  </si>
  <si>
    <t>https://protektor.sai.pl/bin/e6f0e3d7-a790-4dbc-b7b3-84a6513c7d10</t>
  </si>
  <si>
    <t>https://protektor.sai.pl/bin/e1183da6-d92a-40dd-ae10-f3118162bd2b</t>
  </si>
  <si>
    <t>https://protektor.sai.pl/bin/58f72f28-69cc-42ba-8f8f-3085b665d7a7</t>
  </si>
  <si>
    <t>https://protektor.sai.pl/bin/c79cc69a-5742-4081-974a-c21f691b2144</t>
  </si>
  <si>
    <t>https://protektor.sai.pl/bin/fd6d235e-a93c-4670-a570-4006c3539a7b</t>
  </si>
  <si>
    <t>https://protektor.sai.pl/bin/bd9c39fa-05e7-41f2-bbc8-983aa264a46d</t>
  </si>
  <si>
    <t>https://protektor.sai.pl/bin/aa7a6b5c-de77-4958-aaf3-61e2b6bba83b</t>
  </si>
  <si>
    <t>https://protektor.sai.pl/bin/9954e137-57df-428a-8a70-a524529f47bd</t>
  </si>
  <si>
    <t>https://protektor.sai.pl/bin/dff00d21-f746-4337-9e19-0f5aa2f9f934</t>
  </si>
  <si>
    <t>https://protektor.sai.pl/bin/bb10781d-f3c3-4134-aa6c-6fb703904ef9</t>
  </si>
  <si>
    <t>https://protektor.sai.pl/bin/8def4ebc-a5bc-41c5-b197-58ffdfbe610e</t>
  </si>
  <si>
    <t>https://protektor.sai.pl/bin/a8bd028f-f157-4a54-a92d-1da57b325812</t>
  </si>
  <si>
    <t>https://protektor.sai.pl/bin/2a5840ba-79bd-4382-a009-542f594b8d2c</t>
  </si>
  <si>
    <t>https://protektor.sai.pl/bin/2ccc5260-077e-48b1-bb0b-0f3d3dd626f4</t>
  </si>
  <si>
    <t>https://protektor.sai.pl/bin/bc4e36be-ccb6-4968-8be4-c7c6cdbb5bfd</t>
  </si>
  <si>
    <t>https://protektor.sai.pl/bin/85c93368-9e0e-4224-92c8-eae5d0944bb5</t>
  </si>
  <si>
    <t>https://protektor.sai.pl/bin/cb9bcace-0464-4fd6-8e05-a7a412389585</t>
  </si>
  <si>
    <t>https://protektor.sai.pl/bin/41c2a588-9a38-4e6d-9abf-0ad32966d374</t>
  </si>
  <si>
    <t>https://protektor.sai.pl/bin/5dd0bff8-cb03-42ec-b23d-b12d9e0d560c</t>
  </si>
  <si>
    <t>https://protektor.sai.pl/bin/522d20e5-fd09-4835-be32-383513a9f923</t>
  </si>
  <si>
    <t>https://protektor.sai.pl/bin/775401d9-c67a-4093-b409-ff278d47c5ca</t>
  </si>
  <si>
    <t>https://protektor.sai.pl/bin/c6408dbb-92b5-4a9f-a95f-bdae2fa499e6</t>
  </si>
  <si>
    <t>https://protektor.sai.pl/bin/03130ae5-51e3-4697-95ff-694249813301</t>
  </si>
  <si>
    <t>https://protektor.sai.pl/bin/97a43fe0-8467-481d-a716-c3273b7d6b7d</t>
  </si>
  <si>
    <t>https://protektor.sai.pl/bin/c739ce06-c495-4bfc-8246-7a022a4a6d6a</t>
  </si>
  <si>
    <t>https://protektor.sai.pl/bin/b9eb18d0-9a5e-4dd2-8b65-60c60ca74f05</t>
  </si>
  <si>
    <t>https://protektor.sai.pl/bin/3fce04ba-0fbd-460a-8ea0-510bcee46029</t>
  </si>
  <si>
    <t>https://protektor.sai.pl/bin/225b0ccd-f16b-415e-abfc-5fb16dbdf567</t>
  </si>
  <si>
    <t>https://protektor.sai.pl/bin/cbb99ca7-54c7-4b12-92a0-1b8bdc5e3939</t>
  </si>
  <si>
    <t>https://protektor.sai.pl/bin/0a6d9245-b617-4379-aa4a-91154903d580</t>
  </si>
  <si>
    <t>https://protektor.sai.pl/bin/f822d459-cfdf-4042-9d0e-98535f600f9e</t>
  </si>
  <si>
    <t>https://protektor.sai.pl/bin/0761077e-ccc9-4514-aaa4-33efae4d4975</t>
  </si>
  <si>
    <t>https://protektor.sai.pl/bin/a8633806-c8dc-49cd-aeac-764ec4ed1fb7</t>
  </si>
  <si>
    <t>https://protektor.sai.pl/bin/d37e3a76-dd9c-467d-bf76-8dbc0a6afa61</t>
  </si>
  <si>
    <t>https://protektor.sai.pl/bin/31eed64e-2c2f-4101-b247-55603cc210af</t>
  </si>
  <si>
    <t>https://protektor.sai.pl/bin/036e58ff-ce65-431e-b6b3-b29dc8bc6569</t>
  </si>
  <si>
    <t>https://protektor.sai.pl/bin/b92cbfac-051c-4b12-b933-ae0a284bd9df</t>
  </si>
  <si>
    <t>https://protektor.sai.pl/bin/425b61e3-71df-49b3-842f-b34f115e89d5</t>
  </si>
  <si>
    <t>https://protektor.sai.pl/bin/b446f1a7-4811-438a-922a-b1b5370a8e60</t>
  </si>
  <si>
    <t>https://protektor.sai.pl/bin/8e0019f6-87dc-42ec-839e-65a0bf987198</t>
  </si>
  <si>
    <t>https://protektor.sai.pl/bin/b08f6a39-5a6a-4de4-9579-5961ee1e6c5b</t>
  </si>
  <si>
    <t>https://protektor.sai.pl/bin/e1f1c1a0-56d4-4c3c-865b-e0c7526a79c3</t>
  </si>
  <si>
    <t>https://protektor.sai.pl/bin/8ce22b2c-4b71-4e25-a136-2fdf89f00a57</t>
  </si>
  <si>
    <t>https://protektor.sai.pl/bin/b3aa8b8b-ed95-46ac-8c55-5e5c269d14c8</t>
  </si>
  <si>
    <t>https://protektor.sai.pl/bin/73d7601c-3386-4c9c-ab1b-0b43a50e3742</t>
  </si>
  <si>
    <t>https://protektor.sai.pl/bin/83a3d4b4-9b88-4828-9fb8-25b1cf7d8a6a</t>
  </si>
  <si>
    <t>https://protektor.sai.pl/bin/46d505e2-0925-4abb-9342-4018abe81b66</t>
  </si>
  <si>
    <t>https://protektor.sai.pl/bin/ebaac802-8b27-4813-80f1-9f3f92fce46d</t>
  </si>
  <si>
    <t>https://protektor.sai.pl/bin/4b42a47f-c5c7-4c04-a1a2-c2658832d315</t>
  </si>
  <si>
    <t>https://protektor.sai.pl/bin/f3dbe202-c291-4d37-94f0-b6ddb9a82816</t>
  </si>
  <si>
    <t>https://protektor.sai.pl/bin/f8f888b7-eca3-4ed9-9932-66517eca5364</t>
  </si>
  <si>
    <t>https://protektor.sai.pl/bin/b631c566-85bf-4ce4-92ef-f8c80d344949</t>
  </si>
  <si>
    <t>https://protektor.sai.pl/bin/1729cdf5-3ac6-430e-94d9-cad279e10143</t>
  </si>
  <si>
    <t>https://protektor.sai.pl/bin/1a8a5664-10d5-43f0-b6ff-94a0d09989a4</t>
  </si>
  <si>
    <t>https://protektor.sai.pl/bin/8dad2b17-6439-4cfb-a86b-4ec8131e25a7</t>
  </si>
  <si>
    <t>https://protektor.sai.pl/bin/e11ae7e6-2402-4461-adbc-9515f7478b53</t>
  </si>
  <si>
    <t>https://protektor.sai.pl/bin/52f1dae4-b804-4e4e-af7d-deb299357508</t>
  </si>
  <si>
    <t>https://protektor.sai.pl/bin/b148ae61-f341-4291-8148-55b7d9cea1e6</t>
  </si>
  <si>
    <t>https://protektor.sai.pl/bin/b1a847aa-141b-4671-9248-b37bdb5dd8e3</t>
  </si>
  <si>
    <t>https://protektor.sai.pl/bin/2a77f8b8-541b-4000-b25f-07ce63c66807</t>
  </si>
  <si>
    <t>https://protektor.sai.pl/bin/36882151-c4d0-4bd3-9b3f-ea44e9cb4889</t>
  </si>
  <si>
    <t>https://protektor.sai.pl/bin/69ed8af6-dd12-4009-836d-1052dade8d48</t>
  </si>
  <si>
    <t>https://protektor.sai.pl/bin/6fdbed3c-f675-47b9-8f07-0b78cca507d5</t>
  </si>
  <si>
    <t>https://protektor.sai.pl/bin/17ddce83-126f-492f-a1b7-f4dfbf2768cb</t>
  </si>
  <si>
    <t>https://protektor.sai.pl/bin/381fc0d4-0c85-47c1-ba19-bd09c5372ea3</t>
  </si>
  <si>
    <t>https://protektor.sai.pl/bin/15347c90-d1bb-4920-9afb-30cfbb3c4121</t>
  </si>
  <si>
    <t>https://protektor.sai.pl/bin/7af95107-4245-4cc3-b882-02fd219dae8d</t>
  </si>
  <si>
    <t>https://protektor.sai.pl/bin/ab9f57d8-0eb5-46bd-819c-091b84589602</t>
  </si>
  <si>
    <t>https://protektor.sai.pl/bin/bd9e2611-0278-4261-ad71-585acfa01ce8</t>
  </si>
  <si>
    <t>https://protektor.sai.pl/bin/7bb0329a-c3bd-4423-86a4-30770f27228d</t>
  </si>
  <si>
    <t>https://protektor.sai.pl/bin/f21fed0b-c7f1-4c8a-b666-2a3886f38056</t>
  </si>
  <si>
    <t>https://protektor.sai.pl/bin/e12a0eef-863a-4cdc-9a39-180dabd737b6</t>
  </si>
  <si>
    <t>https://protektor.sai.pl/bin/b9d35195-6b74-4946-a625-1c4e20b6f73b</t>
  </si>
  <si>
    <t>https://protektor.sai.pl/bin/8231fa13-0786-4f4c-bcde-d4d22085e68d</t>
  </si>
  <si>
    <t>https://protektor.sai.pl/bin/d78d15da-d5ce-419f-b55d-46d3427f9a14</t>
  </si>
  <si>
    <t>https://protektor.sai.pl/bin/55024460-656c-43a2-abdb-f8831a97034a</t>
  </si>
  <si>
    <t>https://protektor.sai.pl/bin/d1af7922-f997-41fa-b1e2-2c978318ae96</t>
  </si>
  <si>
    <t>https://protektor.sai.pl/bin/ceb628b4-dc8c-4c19-9878-63b2711875c9</t>
  </si>
  <si>
    <t>https://protektor.sai.pl/bin/68c837ac-a811-4786-b891-1dbc12c1c9db</t>
  </si>
  <si>
    <t>https://protektor.sai.pl/bin/228f1d9d-c7ec-428f-8b0c-5ac5381ecfec</t>
  </si>
  <si>
    <t>https://protektor.sai.pl/bin/4b24ad07-5bc3-4892-860f-ab9947c11a82</t>
  </si>
  <si>
    <t>https://protektor.sai.pl/bin/ffb817e8-3b6b-4761-940a-3fdeffcafe16</t>
  </si>
  <si>
    <t>https://protektor.sai.pl/bin/c8608404-af7c-4784-a8b5-e9f187a6ff31</t>
  </si>
  <si>
    <t>https://protektor.sai.pl/bin/a296c019-f617-4ae5-a0f2-dc19022787ec</t>
  </si>
  <si>
    <t>https://protektor.sai.pl/bin/4682a26a-61c1-4b73-9a25-9ac12dff99ea</t>
  </si>
  <si>
    <t>https://protektor.sai.pl/bin/facfd170-86ed-4ca9-aa39-c4f55f30f54b</t>
  </si>
  <si>
    <t>https://protektor.sai.pl/bin/a51678fa-6188-439a-910a-64752b8a0ffe</t>
  </si>
  <si>
    <t>https://protektor.sai.pl/bin/7708e12d-d693-43d3-88e4-cfc28b868fd5</t>
  </si>
  <si>
    <t>https://protektor.sai.pl/bin/d1756422-1431-401a-97b3-0962b67c1317</t>
  </si>
  <si>
    <t>https://protektor.sai.pl/bin/cf09a569-c16f-4930-bb2e-03cf792486e7</t>
  </si>
  <si>
    <t>https://protektor.sai.pl/bin/bb2d2905-552c-4569-b932-6cac6f19d5a0</t>
  </si>
  <si>
    <t>https://protektor.sai.pl/bin/6b14a5b5-3853-41e3-8e0c-a654bac25408</t>
  </si>
  <si>
    <t>https://protektor.sai.pl/bin/99922d93-d8f9-4ed9-b6d1-f569c96011be</t>
  </si>
  <si>
    <t>https://protektor.sai.pl/bin/b4d364fe-f3aa-42bc-8fd6-98f5fa138f43</t>
  </si>
  <si>
    <t>https://protektor.sai.pl/bin/7622b4ad-43a4-456c-97ba-37c03ed9b39c</t>
  </si>
  <si>
    <t>https://protektor.sai.pl/bin/2d26ab84-4a39-41f6-b2a9-38d83790adca</t>
  </si>
  <si>
    <t>https://protektor.sai.pl/bin/760e0a44-2e37-4a3c-8261-2ec378d47da6</t>
  </si>
  <si>
    <t>https://protektor.sai.pl/bin/a3b229ee-9001-4ede-ad6a-9142c82a1617</t>
  </si>
  <si>
    <t>https://protektor.sai.pl/bin/8e0ec9d4-1a29-448a-b8ad-11caa4695879</t>
  </si>
  <si>
    <t>https://protektor.sai.pl/bin/6a3238e0-619f-414f-9afa-f1711721fa11</t>
  </si>
  <si>
    <t>https://protektor.sai.pl/bin/2af92e80-6d92-4a9d-9f94-27011e712699</t>
  </si>
  <si>
    <t>https://protektor.sai.pl/bin/df9708bc-76ef-42af-971e-80f4d01c9b36</t>
  </si>
  <si>
    <t>https://protektor.sai.pl/bin/23339227-5f51-4142-ad7a-06beb07aa3a1</t>
  </si>
  <si>
    <t>https://protektor.sai.pl/bin/9eedce93-7fa2-428b-bc1b-194be50b679e</t>
  </si>
  <si>
    <t>https://protektor.sai.pl/bin/b6ad3b1a-6b8a-4096-b8a3-69045d2b09e7</t>
  </si>
  <si>
    <t>https://protektor.sai.pl/bin/b1dd3b81-afab-4386-bae2-8561bdff34d1</t>
  </si>
  <si>
    <t>https://protektor.sai.pl/bin/bb6f2291-7f81-4650-80fa-ef2970e8ba20</t>
  </si>
  <si>
    <t>https://protektor.sai.pl/bin/4c1da4be-8f4b-48cc-bcf5-232c04432a19</t>
  </si>
  <si>
    <t>https://protektor.sai.pl/bin/7bb3af18-adb0-4892-b61b-881b0cad75b3</t>
  </si>
  <si>
    <t>https://protektor.sai.pl/bin/253d6c27-e6e1-4679-8002-07cc16a7e1e4</t>
  </si>
  <si>
    <t>https://protektor.sai.pl/bin/b922c320-9d64-4d5b-91ba-53d00b5bcbe9</t>
  </si>
  <si>
    <t>https://protektor.sai.pl/bin/36191eec-f497-4515-b71e-0acc652df553</t>
  </si>
  <si>
    <t>https://protektor.sai.pl/bin/2b21c614-3087-4ac3-9f56-14ea932e722c</t>
  </si>
  <si>
    <t>https://protektor.sai.pl/bin/01cb7597-17f3-4951-bdbf-6d1a87a1d93a</t>
  </si>
  <si>
    <t>https://protektor.sai.pl/bin/4ef40a0b-1980-4bce-b0b6-3181cf9f2515</t>
  </si>
  <si>
    <t>https://protektor.sai.pl/bin/9f03430e-8b49-4e11-bb5d-7fac39c63c25</t>
  </si>
  <si>
    <t>https://protektor.sai.pl/bin/6510feda-e27d-45bb-8346-89fb43ef676d</t>
  </si>
  <si>
    <t>https://protektor.sai.pl/bin/2a657f0b-20a6-48aa-8cde-1ae90c798aab</t>
  </si>
  <si>
    <t>https://protektor.sai.pl/bin/e9cc82d6-e060-496d-aab7-85201ae00b3b</t>
  </si>
  <si>
    <t>https://protektor.sai.pl/bin/b53a16bd-3e1d-4545-9d52-42f2913cf677</t>
  </si>
  <si>
    <t>https://protektor.sai.pl/bin/27e5db4c-a123-4047-9540-2b74ce590b3b</t>
  </si>
  <si>
    <t>https://protektor.sai.pl/bin/18326ef6-5873-4520-b932-f659b715da8b</t>
  </si>
  <si>
    <t>https://protektor.sai.pl/bin/6393c6e7-2c63-4601-9f10-5f47f1e93d72</t>
  </si>
  <si>
    <t>https://protektor.sai.pl/bin/f3f4b121-0932-45e7-a911-712f1804554c</t>
  </si>
  <si>
    <t>https://protektor.sai.pl/bin/5efe9b2a-8f8b-4f3b-89f9-95d270288ff8</t>
  </si>
  <si>
    <t>https://protektor.sai.pl/bin/a342ec16-f096-401c-9475-8f43cbf9a03d</t>
  </si>
  <si>
    <t>https://protektor.sai.pl/bin/91b154d4-8ebb-4ae4-b1c6-dba9fa9cb653</t>
  </si>
  <si>
    <t>https://protektor.sai.pl/bin/4b8dd717-2924-43b7-b240-69985bbed55b</t>
  </si>
  <si>
    <t>https://protektor.sai.pl/bin/9b817dfe-9b74-446c-bebe-e5b7b9fe7baf</t>
  </si>
  <si>
    <t>https://protektor.sai.pl/bin/21b94f4f-fc89-4fd8-b0c9-e46b6d62b665</t>
  </si>
  <si>
    <t>https://protektor.sai.pl/bin/2debf760-7b5a-4391-aadb-61d69bc22156</t>
  </si>
  <si>
    <t>https://protektor.sai.pl/bin/6e565bcf-a29c-4d31-a7ce-a57d03bbbccc</t>
  </si>
  <si>
    <t>https://protektor.sai.pl/bin/53486d06-783a-42ca-8ff3-686e6a73fa54</t>
  </si>
  <si>
    <t>https://protektor.sai.pl/bin/4c19b25b-5a4f-496a-a729-0576496cf6e6</t>
  </si>
  <si>
    <t>https://protektor.sai.pl/bin/c732e2d7-dc4f-4110-8402-550a546a9494</t>
  </si>
  <si>
    <t>https://protektor.sai.pl/bin/cedbcde2-6712-4c5f-972b-36bdb5dfe162</t>
  </si>
  <si>
    <t>https://protektor.sai.pl/bin/2f80bc6e-a8c3-4250-bc74-ecb69c4109d8</t>
  </si>
  <si>
    <t>https://protektor.sai.pl/bin/63a62022-4e6a-410e-92a9-b4743a0d34ae</t>
  </si>
  <si>
    <t>https://protektor.sai.pl/bin/0ea53b23-76ce-4ff8-99ca-7f90a942736c</t>
  </si>
  <si>
    <t>https://protektor.sai.pl/bin/7b2a504f-602c-4edf-bd14-6c514b84e1de</t>
  </si>
  <si>
    <t>https://protektor.sai.pl/bin/b181b63c-cd5b-4f4d-a9b9-c7da143ff451</t>
  </si>
  <si>
    <t>https://protektor.sai.pl/bin/45c70d7a-bc9b-4ebb-a27c-752d3ed97655</t>
  </si>
  <si>
    <t>https://protektor.sai.pl/bin/b55beac3-2fae-482b-8f78-5f8f7b5913dc</t>
  </si>
  <si>
    <t>https://protektor.sai.pl/bin/a213bf39-8ad3-489b-bf31-14618dcff688</t>
  </si>
  <si>
    <t>https://protektor.sai.pl/bin/de13d5f2-da47-4e26-bc90-c3e83414b60f</t>
  </si>
  <si>
    <t>https://protektor.sai.pl/bin/6f5b92d3-7814-413f-a467-0b80a86d8dad</t>
  </si>
  <si>
    <t>https://protektor.sai.pl/bin/9288dc93-78e5-4166-8728-b5730cb93b62</t>
  </si>
  <si>
    <t>https://protektor.sai.pl/bin/decd83df-6ca0-49e6-b090-59690b60a04e</t>
  </si>
  <si>
    <t>https://protektor.sai.pl/bin/c172614a-6381-448e-9630-30f71dfc4b1f</t>
  </si>
  <si>
    <t>https://protektor.sai.pl/bin/8293beda-db2b-47e1-8527-bb7cc8d4c7c5</t>
  </si>
  <si>
    <t>https://protektor.sai.pl/bin/87e4c241-9c30-473e-bb8b-71716b7904b0</t>
  </si>
  <si>
    <t>https://protektor.sai.pl/bin/ddbda555-5570-4bd8-8073-7635a2e2ad7b</t>
  </si>
  <si>
    <t>Active е линия специализирани продукти препоръчани за професионалисти чиято работа и ежедневни задължения изискват постоянно движение и много часове правостоящи. Тяхното леко тегло понижава умората в краката.Технологията SHOCK ABSORBER  поема вибрациите и неравостите, предпазва от наранявания и осигурява висок кофорт-дори и при много часове работа. Отличните параметри правят линията Active идеалния избор за болничен персонал, детски градини и хранително вкусова промишленост.</t>
  </si>
  <si>
    <t>Autoclav е линия специализирано професионално сабо, предназначено за употреба при особено взискателни условия.  Благодарение на възможността за измиване и стерилизация, моделът е популярен избор на специализирания болничен персонал.</t>
  </si>
  <si>
    <t>Комфорта и сигурността вървят ръка за ръка с новата серия защитни обувки TRAX AUTOMOTIVE.Лицевата част е изработена в минималистичен стил с минимален брой шевове, за лесно почистване на обувките отвън. Износоусточивата пълнозърнеста кожа, и двупластовия материал използван в моделите TRAX-който надвишава три пъти изискванията по стандарт за усточивост на разкъсване. TRAX AUTOMOTIVE също така е лек и гъвкав, за изключителен комфорт в преодоляването на ежедневните предизвикателства.</t>
  </si>
  <si>
    <t>Удобни и здрави- така можем да опишем обувките GROM с две думи. Обувките са конструирани специално за нуждите на армията. Представения модел може да се справи с всички, дори и най-неблагоприятни условия. Тактическите обувки са с класическа форма и универсален черен цвят. Вншния материал е от високо качественна зърнеста кожа, устойчива на механично увреждане. Подплатата е от технологичен текстил и мембрана. Представения модел ще се докаже на всякакъв терен, независимо какъв.</t>
  </si>
  <si>
    <t>Комфорта и сигурността вървят ръка за ръка с новата серия защитни обувки TRAX AUTOMOTIVE. Лицевата част е изработена в минималистичен стил с минимален брой шевове, за лесно почистване на обувките отвън. Износоусточивата пълнозърнеста кожа, и двупластовия материал използван в моделите TRAX-който надвишава три пъти изискванията по стандарт за усточивост на разкъсване. TRAX AUTOMOTIVE също така е лек и гъвкав, за изключителен комфорт в преодоляването на ежедневните предизвикателства.</t>
  </si>
  <si>
    <t>PROTEKTOR S.A. специализира в производството и дистрибуцията на защитни, работни и тактически обувки, както и обувки за противопожарна служба и спасителни операции.</t>
  </si>
  <si>
    <t>Откриите комфорта при работа с новата линия ROAD защитни обувки. Моделите са изработени в отговор на нуждите и наблюденията споделени с нас от представители на транспортния и логистичен бранш и леката индустрия. Лицевата част е устойчива на механични повреди и разкъсване, в допълнение има ключови елементи като повишено ниво на влагоотвеждане и издръжливост на материала. Комбинацията от ергономичност, дизайн и сигурност се осъществяват с новите модели ROAD.</t>
  </si>
  <si>
    <t>633 Боти STRATUS COMMANDER черни</t>
  </si>
  <si>
    <t>Леки тактически обувки, от естествен велур в комбинация с технологичен текстил с цел увеличаване възудшния поток, правейки ги отличен избор особено за топъл климат, също така и сред трекинг ентусиастите.</t>
  </si>
  <si>
    <t>Леки тактически обувки, от естествен велур в комбинация с технологичен текстил с цел увеличаване възудшния поток, правейки ги отличен избор особено за топъл климат.</t>
  </si>
  <si>
    <t>Наблюдавайки трудностите в работата на хората в дърводобива, строителство и довършителни работи, ние създадохме изцяло нова линия обувки. Най-важното за нас бе комфорта на движение и многофункционалността на обувката. Благодарение на самопочистващата се подметка е лесно да поддържате обувката чиста, в комбинация с високата устойчивост а на плъзгане я правят правилен избор за работа в трудни условия и променливо време.</t>
  </si>
  <si>
    <t>CONSTRUCT H OFFSHORE защитна обувка е със водоустойчива паропропусклива мембрана, Обувките са със топлоустойчива полиуретан/каучук подметка, със самопочистващи се свойства. Светлоотразителните елементи повишават безопасността при работа в недобре осветени помещения.</t>
  </si>
  <si>
    <t>Професионални тактически ботуши, създадени за работа при много взискателни условия. Използването на технологично напреднала мембрана увеличава комфорта при употреба, отвеждайки влагата навън, осигурявайки водоустойчивост и регулиране на температурата в обувката, предоставяйки комфорт дългосрочно.</t>
  </si>
  <si>
    <t>Protektor Grom Light е специална линия тактически обувки, проектирани за професионални военни, охранители, полиция и гранична полиция. Направени са от естествен велур, който осигурява добри дишащи свойства и отвежда запотяването навън. Благодарение на приложените решения и материали, обувките са устойчиви на нараняване, което значително увеличава техния живот.</t>
  </si>
  <si>
    <t>RESCUE е линия защитни обувки проектирани специално за нуждите на спасителни формирования. Екипирани са със светлоотразителни елементи, с цел увеличаване на сигурността в тъмната част от денонощието.</t>
  </si>
  <si>
    <t xml:space="preserve">Отговорността по време на работа без съмнение е особенност в професии като парамедици, охранители, военни и много други, които осигуряват безопасността на гражданите всеки ден. Знаеш, че трябва да си готов за действие при всякакви условия, климатични или особенности на терена. Нашите тактически обувки са правилния избор. Уникалния дизайн, осигурява стабилност на крака. Това осигурява комфорт и сигурност по време на специалните задачи които изпълнявате. </t>
  </si>
  <si>
    <t xml:space="preserve">Защитни обувки предназначени за служители в тежката индустрия, строителство и логистика. Също подходящи и за минната индустрия. </t>
  </si>
  <si>
    <t>Защитни обувки оборудвани с иновативна водоустойчива мембрана и изолация Thinsulate 3M. Обувките имат топлоустойчива полиуретан/каучук подметка със самопочистващи се свойства. Светлоотразителните елементи повишават сигурността при работа в тъмни помещения и на открито.</t>
  </si>
  <si>
    <t>Защитни обувки които се препоръчват за служители в складове, логистика или големи продажбени зали. Обувките са подходящи и за много други служители в леката индустрия.</t>
  </si>
  <si>
    <t>Защитни обувки които се препоръчват за служители в складове, логистика или големи продажбени зали. Обувките са от лесни за почистване материали.</t>
  </si>
  <si>
    <t>Специални ботуши, предназначени за дейности по пожарогасене, извънредни ситуации, спасителни операции и др.</t>
  </si>
  <si>
    <t>Тактически ниски обувки с гъвкава подметка и топлоустойчив грайфер от каучук, осигуряваща добро сцепление на всякаква повърхност. Горната част е произведена от издръжлива зърнеста кожа, мембрана която осигурява водоустойчивост и комфорт при употребата независимо от климатичните условия.</t>
  </si>
  <si>
    <t>Комбинацията от модерни технологии и дългогодишния опит направиха възможно създаването на тактическите обувки GROM, които се доказват в много ситуации и покриват дори и най-високите изисквания. Универсалният дезайн ги прави подходящи за професионални войници, охранители, служители в полицията, но и за хора харесващи военния стил. Произведени са от зърнеста кожа и устойчив технологичен текстил, което позволява да бъдат ползвани дълго време без видими следи на износване. Здравата подметка позволява движение по неравен терен без да създават неудобство.</t>
  </si>
  <si>
    <t>Серията FALCON е линия създадена за защита и комфорт на Противопожарните служби. Наблюдавайки условията и трудностите с които се сблъскват по времена работа, ние подготвихме този проект вземайки предвид нуждите за които те ни сигнализираха.</t>
  </si>
  <si>
    <t>Защитните обувки Fenix осигуряват сигурността на служителите във всяка ситуация. Ефективно защитатват краката от нараняване и топлоустойчивата подметка предоставя допълнителна защита от прегряване. Направени са от топлоустойчива зърнеста кожа, която предотвратява наранявания на краката, те са клас S2, снабдени с метално предпазно бомбе, и усилена зона на петата. Подходяща е за употреба в тежката индустрия, и на всякъде където служителя може да бъде изложен на контакт с високи температури.</t>
  </si>
  <si>
    <t>Линията Food Trax е проектирана специално за работна среда свързана със производство на хранителни продукти и съхранението им. Горната част е направена от водоустойчива нископорьозна кожа, която не задържа мръсотия и улеснява поддържането на обувките чисти.</t>
  </si>
  <si>
    <t>Линията обувки Trax Light е проектирана специално за кофорт при работата в производствени помещения, складове и логистика. Технологичния текстил осигурява лекота и свободна циркулация на въдуха във обувката. Използваният материал се характеризира с износоустойчивост и висока устойчивост на пробиване.</t>
  </si>
  <si>
    <t>Линията GROM има широк набор от функции, които ще направят работния Ви ден по-продуктивен и удовлетворяващ. Ние разработихме тактическите обувки за да покрият голям набор от изисквания.</t>
  </si>
  <si>
    <t>Линията GROM се характеризират с висока издръжливост и многофункционалност. Проектирани са за военен персонал, полицейски персонал, гранична полиция и всички дейности предполагащи употребата на тактически обувки. Зърнестата кожа от която са направени, гарантира издръжливост и паропропускливост. Специално конструираната подметка осигурява безопасност в предвижването по хлъзгави повърхности, и допълнително изолира долната част от студ, правейки GROM обувките перфектни за студено време.</t>
  </si>
  <si>
    <t>Линията GROM се характеризират с висока издръжливост и многофункционалност. Проектирани са за военен персонал, полицейски персонал, гранична полиция и всички дейности предполагащи употребата на тактически обувки. Зърнестата кожа от която са направени, гарантира издръжливост и паропропускливост. Специално конструираната подметка осигурява безопасност в предвижването по хлъзгави повърхности.</t>
  </si>
  <si>
    <t>Линията GROM тактически обувки направени от висококачествен велур са гаранция за надеждност и професионализъм. Направени са с последната SHOCK ABSORBER технология, осигурявайки виоско ниво на комфорт и изключителна устойчивост на нараняване и метеорологични условия. Специалната подплата подсигурява отвеждането на влагата от вътре навън, осигурявайки възможността за ежедневна употреба. Широк набор от размери.</t>
  </si>
  <si>
    <t>Докато подготвяхме дизайна на новите ни модели, ние избрахме главната цел-да създадем продукт който е максимално подходящ за разнообразните нужди на потребителя. След дискусии с представители на много сектори в леката индустрия, взехме решение да проектираме серията TRAX, създадена да отговори на нуждите на служители в електронна индустрия, транспорт, логистика и много други.</t>
  </si>
  <si>
    <t>Притиснати от времето, интензивни и динамични движения на тялото, придвижване по различни повърхности, контакт с телесни течности- това е само част от заключенията до които достигнахме наблюдавайки ежедневието на парамедиците и спасителите екипи. Вземайки предвид техните нужди, проектирахме модела FALCON. Приложените технологии PRT FLEX, UV PROTECTION, SELF-CLEANING и др. тези защитни ботуши за професионалисти са създадени да гарантират безопасността  и ергономичноста а спасителите екипи и парамедици.</t>
  </si>
  <si>
    <t>Високите работни ботуши от зърнеста кожа осигуряват безопасността а работника във всяка ситуация. Снабдени са дебела каучукова подметка, устойчива на висока температура. Защитите ботуши са с метална защита на пръстите, клас S3 защита.</t>
  </si>
  <si>
    <t>Трекинг ботите UNIQUE са със гъвкава подметка, снабдена с грайфер от каучук, предоставящ добро сцепление на всякакви повърхности. Горната част е направена от издръжлив набук, подсилен в зоната на петата и пръстите, водоустойчивостта е осигутена от ммембрана и всичко това гарантира комфорт при употребата им без значение какви са метеорологичните условия.</t>
  </si>
  <si>
    <t>9100 сандали RUBBER бели OB</t>
  </si>
  <si>
    <t>9110 сандали RUBBER черни OB</t>
  </si>
  <si>
    <t>9150 сандали RUBBER сини OB</t>
  </si>
  <si>
    <t>9200 чехли RUBBER бели OB</t>
  </si>
  <si>
    <t>9250 чехли RUBBER сини OB</t>
  </si>
  <si>
    <t>9252 чехли RUBBER черни OB</t>
  </si>
  <si>
    <t>9300 чехли RUBBER бели OB</t>
  </si>
  <si>
    <t>9310 чехли RUBBER черни OB</t>
  </si>
  <si>
    <t>5100 сандали RUBBER бели OB</t>
  </si>
  <si>
    <t>5150 сандали RUBBER сини OB</t>
  </si>
  <si>
    <t>5200 чехли RUBBER бели OB</t>
  </si>
  <si>
    <t>5250 чехли RUBBER сини OB</t>
  </si>
  <si>
    <t>5300 чехли RUBBER бели OB</t>
  </si>
  <si>
    <t>5310 чехли RUBBER черни OB</t>
  </si>
  <si>
    <t xml:space="preserve">технология SHOCK ABSORBER </t>
  </si>
  <si>
    <t>каучук, топлоустойчива подметка, негорима подметка, подметка позволяваща безопасно изкачване на стълби, усточивост на киселини, усточивост на краткосрочен контакт с гореща повърхност 180 ° C, PRT FLEX технология, технология SHOCK ABSORBER ,технология SELF CLEAN -самопочистваща се подметка</t>
  </si>
  <si>
    <t>каучук, топлоустойчива подметка, негорима подметка, подметка позволяваща безопасно изкачване на стълби, технология SHOCK ABSORBER ,технология SELF CLEAN -самопочистваща се подметка</t>
  </si>
  <si>
    <t>полиуретан/полиуретан, подметка позволяваща безопасно изкачване на стълби, усточивост на киселини, усточивост на основи, усточивост на краткосрочен контакт с гореща повърхност 180 ° C, PRT FLEX технология, технология SHOCK ABSORBER , ANA-TECH technology (увеличена площ на подметката в зоната на петата)</t>
  </si>
  <si>
    <t>полиуретан/каучук, подметка позволяваща безопасно изкачване на стълби, усточивост на киселини, усточивост на краткосрочен контакт с гореща повърхност 180 ° C, PRT FLEX технология, технология SHOCK ABSORBER , ANA-TECH technology (увеличена площ на подметката в зоната на петата),технология SELF CLEAN -самопочистваща се подметка</t>
  </si>
  <si>
    <t>полиуретан/каучук, топлоустойчива подметка, подметка позволяваща безопасно изкачване на стълби, усточивост на киселини, усточивост на краткосрочен контакт с гореща повърхност 180 ° C, PRT FLEX технология, технология SHOCK ABSORBER , ANA-TECH technology (увеличена площ на подметката в зоната на петата),технология SELF CLEAN -самопочистваща се подметка</t>
  </si>
  <si>
    <t>полиуретан/полиуретан, топлоустойчива подметка, подметка позволяваща безопасно изкачване на стълби, усточивост на киселини, усточивост на основи, усточивост на краткосрочен контакт с гореща повърхност 180 ° C, PRT FLEX технология, технология SHOCK ABSORBER , ANA-TECH technology (увеличена площ на подметката в зоната на петата),технология SELF CLEAN -самопочистваща се подметка</t>
  </si>
  <si>
    <t>каучук, топлоустойчива подметка, негорима подметка, подметка позволяваща безопасно изкачване на стълби, усточивост на киселини, усточивост на краткосрочен контакт с гореща повърхност 180 ° C, PRT FLEX технология, технология SHOCK ABSORBER , ANA-TECH technology (увеличена площ на подметката в зоната на петата),технология SELF CLEAN -самопочистваща се подметка</t>
  </si>
  <si>
    <t>Строителство / Довършителни Работи, Лека Индустрия</t>
  </si>
  <si>
    <t>Тактически, Трекинг</t>
  </si>
  <si>
    <t>Пожарникари И Спасители, Охрана И Сигурност / Охрана, Тактически, Трекинг</t>
  </si>
  <si>
    <t>Охрана И Сигурност / Охрана, Тактически, Трекинг</t>
  </si>
  <si>
    <t>Хранително-Вкусова Индустрия, Хорека, Фармацевтика</t>
  </si>
  <si>
    <t>Хранително-Вкусова Индустрия, Гастрономия / Кухня, Хорека, Фармацевтика</t>
  </si>
  <si>
    <t>Хранително-Вкусова Индустрия, Фармацевтика</t>
  </si>
  <si>
    <t>Хранително-Вкусова Индустрия, Гастрономия / Кухня, Фармацевтика</t>
  </si>
  <si>
    <t>Хранително-Вкусова Индустрия, Гастрономия / Кухня, Фармацевтика, Транспорт / Склад И Логистика</t>
  </si>
  <si>
    <t>Гастрономия / Кухня, Хорека, Болничен Персонал, Фармацевтика</t>
  </si>
  <si>
    <t>Болничен Персонал, Фармацевтика</t>
  </si>
  <si>
    <t>Медицинска Индустрия</t>
  </si>
  <si>
    <t>Хранително-Вкусова Индустрия</t>
  </si>
  <si>
    <t>Гастрономия / Кухня</t>
  </si>
  <si>
    <t>Хорека, Болничен Персонал, Фармацевтика</t>
  </si>
  <si>
    <t>Хранително-Вкусова Индустрия, Гастрономия / Кухня, Хорека</t>
  </si>
  <si>
    <t>Хранително-Вкусова Индустрия, Гастрономия / Кухня, Хорека, Болничен Персонал</t>
  </si>
  <si>
    <t>Болничен Персонал</t>
  </si>
  <si>
    <t>Хранително-Вкусова Индустрия, Гастрономия / Кухня, Хорека, Болничен Персонал, Фармацевтика</t>
  </si>
  <si>
    <t>Хорека</t>
  </si>
  <si>
    <t>Фармацевтика</t>
  </si>
  <si>
    <t>Хранително-Вкусова Индустрия, Гастрономия / Кухня, Хорека, Болничен Персонал, Медицинска Индустрия, Фармацевтика</t>
  </si>
  <si>
    <t>Болничен Персонал, Медицинска Индустрия, Фармацевтика</t>
  </si>
  <si>
    <t>Хорека, Болничен Персонал, Медицинска Индустрия, Фармацевтика</t>
  </si>
  <si>
    <t>Гастрономия / Кухня, Хорека, Болничен Персонал, Медицинска Индустрия, Фармацевтика</t>
  </si>
  <si>
    <t>Гастрономия / Кухня, Хорека, Фармацевтика</t>
  </si>
  <si>
    <t>Хранително-Вкусова Индустрия, Гастрономия / Кухня, Хорека, Болничен Персонал, Медицинска Индустрия</t>
  </si>
  <si>
    <t/>
  </si>
  <si>
    <t>Електронна Индустрия, Лека Индустрия, Транспорт / Склад И Логистика</t>
  </si>
  <si>
    <t>Транспорт / Склад И Логистика</t>
  </si>
  <si>
    <t>Автомобилен Сервиз/ Сервизна Поддръжка, Строителство / Довършителни Работи, Лека Индустрия</t>
  </si>
  <si>
    <t>Лека Индустрия, Транспорт / Склад И Логистика</t>
  </si>
  <si>
    <t>Хорека, Транспорт / Склад И Логистика</t>
  </si>
  <si>
    <t>Гастрономия / Кухня, Хорека, Болничен Персонал</t>
  </si>
  <si>
    <t>Електронна Индустрия</t>
  </si>
  <si>
    <t>Пожарникари И Спасители</t>
  </si>
  <si>
    <t>Тежка Индустрия, Лека Индустрия</t>
  </si>
  <si>
    <t>Строителство / Довършителни Работи, Тежка Индустрия</t>
  </si>
  <si>
    <t>Автомобилен Сервиз/ Сервизна Поддръжка, Електронна Индустрия, Лека Индустрия, Транспорт / Склад И Логистика</t>
  </si>
  <si>
    <t>Тежка Индустрия</t>
  </si>
  <si>
    <t>Строителство / Довършителни Работи</t>
  </si>
  <si>
    <t>Тежка Индустрия, Други</t>
  </si>
  <si>
    <t>Строителство / Довършителни Работи, Лека Индустрия, Транспорт / Склад И Логистика</t>
  </si>
  <si>
    <t>Строителство / Довършителни Работи, Пожарникари И Спасители, Тежка Индустрия</t>
  </si>
  <si>
    <t>Пожарникари И Спасители, Хорека, Други, Охрана И Сигурност / Охрана</t>
  </si>
  <si>
    <t>Тактически</t>
  </si>
  <si>
    <t>Лека Индустрия, Други, Охрана И Сигурност / Охрана, Транспорт / Склад И Логистика</t>
  </si>
  <si>
    <t>Пожарникари И Спасители, Тежка Индустрия</t>
  </si>
  <si>
    <t>Пожарникари И Спасители, Хорека, Други</t>
  </si>
  <si>
    <t>Пожарникари И Спасители, Тактически, Трекинг</t>
  </si>
  <si>
    <t>Охрана И Сигурност / Охрана, Тактически</t>
  </si>
  <si>
    <t>Пожарникари И Спасители, Тактически</t>
  </si>
  <si>
    <t>Пожарникари И Спасители, Охрана И Сигурност / Охрана, Тактически</t>
  </si>
  <si>
    <t>Лека Индустрия</t>
  </si>
  <si>
    <t>Хранително-Вкусова Индустрия, Гастрономия / Кухня, Хорека, Лека Индустрия, Транспорт / Склад И Логистика</t>
  </si>
  <si>
    <t>Гастрономия / Кухня, Хорека</t>
  </si>
  <si>
    <t>Хорека, Други</t>
  </si>
  <si>
    <t>Други</t>
  </si>
  <si>
    <t>Текстил,Сменяема Стелка</t>
  </si>
  <si>
    <t>Кожа/Текстил,Сменяема Стелка</t>
  </si>
  <si>
    <t>Кожа, Интегрирана Стелка</t>
  </si>
  <si>
    <t>Текстил, Антибактериална Стелка, Ортопедична Стелка,Сменяема Стелка</t>
  </si>
  <si>
    <t>Текстил, Интегрирана Стелка</t>
  </si>
  <si>
    <t>Кожа/Текстил, Интегрирана Стелка</t>
  </si>
  <si>
    <t>Текстил,Сменяема Стелка, Масажираща Стелка</t>
  </si>
  <si>
    <t>Текстил</t>
  </si>
  <si>
    <t>Текстил, Антибактериална Стелка,Сменяема Стелка</t>
  </si>
  <si>
    <t>Текстил, Интегрирана Стелка, Масажираща Стелка</t>
  </si>
  <si>
    <t>Кожа, Ортопедична Стелка, Интегрирана Стелка</t>
  </si>
  <si>
    <t>Текстил, Антибактериална Стелка</t>
  </si>
  <si>
    <t>Кожа</t>
  </si>
  <si>
    <t>Технологичен Текстил</t>
  </si>
  <si>
    <t>Текстил, Мембрана</t>
  </si>
  <si>
    <t>Зърнеста Кожа</t>
  </si>
  <si>
    <t>Зърнеста Кожа/Текстил</t>
  </si>
  <si>
    <t>Текстил, Антибактериална Подплата</t>
  </si>
  <si>
    <t>Микрофибър</t>
  </si>
  <si>
    <t>Велурена Кожа</t>
  </si>
  <si>
    <t>Микрофибър, Мембрана</t>
  </si>
  <si>
    <t>Без Подплата</t>
  </si>
  <si>
    <t>Технологичен Текстил, Мембрана</t>
  </si>
  <si>
    <t>Кожа/Текстил</t>
  </si>
  <si>
    <t>Набук</t>
  </si>
  <si>
    <t>Еко Кожа</t>
  </si>
  <si>
    <t>Зърнеста Кожа/Еко Кожа</t>
  </si>
  <si>
    <t>Микрофибър/Текстил</t>
  </si>
  <si>
    <t>Термопластичен Еластомер</t>
  </si>
  <si>
    <t>Велурена Кожа/Текстил</t>
  </si>
  <si>
    <t>Зърнеста Кожа, Топлоустойчива Кожа</t>
  </si>
  <si>
    <t>Зърнеста Кожа, Топлоустойчива Кожа, Uv Защита</t>
  </si>
  <si>
    <t>Каучук</t>
  </si>
  <si>
    <t>Ниски</t>
  </si>
  <si>
    <t>Високи ORIGINAL</t>
  </si>
  <si>
    <t>Oбувки</t>
  </si>
  <si>
    <t>Сабо</t>
  </si>
  <si>
    <t>Сандали</t>
  </si>
  <si>
    <t>Неприложимо</t>
  </si>
  <si>
    <t>Съгласно изискванията на държавна противопожарна служба на Полша</t>
  </si>
  <si>
    <t>Без сертификат</t>
  </si>
  <si>
    <t>Стоманено бомбе</t>
  </si>
  <si>
    <t>Стоманено бомбе, Допълнително подсилване в горната част, Подходящи за работа на колене</t>
  </si>
  <si>
    <t>Допълнително подсилване в горната част, Подходящи за работа на колене, Дезинфекция</t>
  </si>
  <si>
    <t>Защита на глезена, Дезинфекция</t>
  </si>
  <si>
    <t>Дезинфекция</t>
  </si>
  <si>
    <t>Стоманено бомбе, Дезинфекция</t>
  </si>
  <si>
    <t>Лесно почистване на горната част</t>
  </si>
  <si>
    <t>Лесно почистване на горната част, Дезинфекция</t>
  </si>
  <si>
    <t>Стоманено бомбе, Лесно почистване на горната част</t>
  </si>
  <si>
    <t>Лесно почистване на горната част, Пране при 30 градуса</t>
  </si>
  <si>
    <t>Стоманено бомбе, Лесно почистване на горната част, Пране при 30 градуса</t>
  </si>
  <si>
    <t>Стоманено бомбе, Светлоотразителни елементи, Пране при 30 градуса</t>
  </si>
  <si>
    <t>Стоманено бомбе, Пране при 30 градуса</t>
  </si>
  <si>
    <t>Пране при 30 градуса</t>
  </si>
  <si>
    <t>Допълнително подсилване в горната част, Подходящи за работа на колене, Пране при 30 градуса, Съвместими с HACCP</t>
  </si>
  <si>
    <t>Съвместими с HACCP</t>
  </si>
  <si>
    <t>Стоманено бомбе, Допълнително подсилване в горната част, Подходящи за работа на колене, Пране при 30 градуса, Съвместими с HACCP</t>
  </si>
  <si>
    <t>Стоманено бомбе, Пране при 30 градуса, Съвместими с HACCP</t>
  </si>
  <si>
    <t>Пране при 30 градуса, Съвместими с HACCP</t>
  </si>
  <si>
    <t>autoclavable at 134°C, Пране при 60 градуса</t>
  </si>
  <si>
    <t>Лесно почистване на горната част, autoclavable at 134°C, Пране при 60 градуса</t>
  </si>
  <si>
    <t>Пране при 60 градуса</t>
  </si>
  <si>
    <t>Пране при 60 градуса, Съвместими с HACCP</t>
  </si>
  <si>
    <t>Усилена издържливост на горната част</t>
  </si>
  <si>
    <t>Усилена издържливост на горната част
зърнеста кожа - excellent parameters of tensile strength and tensile strength along and across, a minimum of 15 N / mm2 is requiчервени and our result is 29.1 N / mm2</t>
  </si>
  <si>
    <t>Усилена издържливост на горната част, Дезинфекция</t>
  </si>
  <si>
    <t>Усилена издържливост на горната част, Лесно почистване на горната част, Пране при 30 градуса, Съвместими с HACCP</t>
  </si>
  <si>
    <t>Усилена издържливост на горната част, Стоманено бомбе</t>
  </si>
  <si>
    <t>Усилена издържливост на горната част, Стоманено бомбе, Лесно почистване на горната част, Пране при 30 градуса, Съвместими с HACCP</t>
  </si>
  <si>
    <t>Усилена издържливост на горната част
кожа - tear resistance in requirements not less than 120 N, our result 206 N, tensile strength in requirements not less than 15 N / mm2, our result 25 N / mm2
Усилена водоустойчивост
кожа - water absorption after 1 hour - no more than 30% requiчервени, our result 8%</t>
  </si>
  <si>
    <t>Усилена издържливост на горната част
кожа - tear resistance in requirements not less than 120 N, our result 168 N, tensile strength in requirements not less than 15 N / mm2, our result 26 N / mm2
Усилена водоустойчивост
кожа - water absorption after 1 hour - no more than 30% requiчервени, our result 2%</t>
  </si>
  <si>
    <t>Усилена водоустойчивост, Усилена издържливост на горната част, Стоманено бомбе, Дезинфекция</t>
  </si>
  <si>
    <t>Усилена водоустойчивост, Усилена издържливост на горната част, Композитно бомбе, Лесно почистване на горната част, Съвместими с HACCP, PRO-TENDON technology (Achilles tendon protection)</t>
  </si>
  <si>
    <t>Композитно бомбе, Без метал</t>
  </si>
  <si>
    <t>Композитно бомбе, Без метал, Пране при 30 градуса, Съвместими с HACCP</t>
  </si>
  <si>
    <t>Усилена водоустойчивост, Усилена издържливост на горната част, Композитно бомбе, Без метал, Лесно почистване на горната част, Светлоотразителни елементи, Дезинфекция, PRO-TENDON technology (Achilles tendon protection)</t>
  </si>
  <si>
    <t>Без метал, Дезинфекция</t>
  </si>
  <si>
    <t>Без метал, Лесно почистване на горната част, Пране при 30 градуса</t>
  </si>
  <si>
    <t>Лесно почистване на горната част, Електроизолирани, Дезинфекция</t>
  </si>
  <si>
    <t>Усилена водоустойчивост, Усилена издържливост на горната част, Композитно бомбе, Лесно почистване на горната част, Електроизолирани, Съвместими с HACCP, PRO-TENDON technology (Achilles tendon protection), COLD PROTECTION technology</t>
  </si>
  <si>
    <t>Ниски, Дезинфекция</t>
  </si>
  <si>
    <t>Композитно бомбе, Допълнително подсилване в горната част, Подходящи за работа на колене, Ниски</t>
  </si>
  <si>
    <t>Композитно бомбе, Без метал, Ниски</t>
  </si>
  <si>
    <t>Композитно бомбе, Без метал, Светлоотразителни елементи, Ниски</t>
  </si>
  <si>
    <t>Композитно бомбе, Без метал, Светлоотразителни елементи, Ниски, Електроизолирани, COLD PROTECTION technology</t>
  </si>
  <si>
    <t>Лесно почистване на горната част, Ниски</t>
  </si>
  <si>
    <t>Усилена издържливост на горната част, Ниски</t>
  </si>
  <si>
    <t>Усилена издържливост на горната част, Ниски, Дезинфекция</t>
  </si>
  <si>
    <t>Усилена издържливост на горната част, Композитно бомбе, Без метал, Ниски, Дезинфекция</t>
  </si>
  <si>
    <t>Усилена издържливост на горната част, Без метал, Ниски, Дезинфекция</t>
  </si>
  <si>
    <t>Усилена водоустойчивост, Ниски, Дезинфекция, PRO-TENDON technology (Achilles tendon protection)</t>
  </si>
  <si>
    <t>Усилена водоустойчивост, Усилена издържливост на горната част, Композитно бомбе, Без метал, Лесно почистване на горната част, Ниски, Съвместими с HACCP</t>
  </si>
  <si>
    <t>Усилена водоустойчивост, Усилена издържливост на горната част, Композитно бомбе, Без метал, Лесно почистване на горната част, Ниски, Съвместими с HACCP, PRO-TENDON technology (Achilles tendon protection)</t>
  </si>
  <si>
    <t>Усилена водоустойчивост, Усилена издържливост на горната част, Композитно бомбе, Без метал, Лесно почистване на горната част, Ниски, Електроизолирани, Съвместими с HACCP, PRO-TENDON technology (Achilles tendon protection), COLD PROTECTION technology</t>
  </si>
  <si>
    <t>Усилена водоустойчивост, Усилена издържливост на горната част, Лесно почистване на горната част, Ниски, Съвместими с HACCP</t>
  </si>
  <si>
    <t>Без метал, Ниски, Дезинфекция</t>
  </si>
  <si>
    <t>Стоманено бомбе, Допълнително подсилване в горната част, Подходящи за работа на колене, Ниски, Дезинфекция</t>
  </si>
  <si>
    <t>Стоманено бомбе, Допълнително подсилване в горната част, Подходящи за работа на колене, Светлоотразителни елементи, Ниски, Защита на глезена, Дезинфекция, PRO-TENDON technology (Achilles tendon protection)</t>
  </si>
  <si>
    <t>Стоманено бомбе, Лесно почистване на горната част, Допълнително подсилване в горната част, Подходящи за работа на колене, Ниски</t>
  </si>
  <si>
    <t>Стоманено бомбе, Лесно почистване на горната част, Ниски</t>
  </si>
  <si>
    <t>Стоманено бомбе, Светлоотразителни елементи, Ниски, Дезинфекция</t>
  </si>
  <si>
    <t>Усилено дишащи</t>
  </si>
  <si>
    <t>Усилено дишащи, Ниски</t>
  </si>
  <si>
    <t>Усилено дишащи, Ниски, Пране при 30 градуса</t>
  </si>
  <si>
    <t>Усилено дишащи, Композитно бомбе, Допълнително подсилване в горната част, Подходящи за работа на колене, Дезинфекция</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</si>
  <si>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</si>
  <si>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усточивост на киселини and bases
resistance to short-term contact with hot substrate at a temperature of 180°C</t>
  </si>
  <si>
    <t>Усилено дишащи, Композитно бомбе, Без метал</t>
  </si>
  <si>
    <t>Усилено дишащи, Композитно бомбе, Без метал, Лесно почистване на горната част, Дезинфекция</t>
  </si>
  <si>
    <t>Усилено дишащи
lining - increased water vapor permeability in the requirements of min 0.8 mg / (cm2 * h) - our result is 42.9 mg / (cm2 * h), the water vapor coefficient is requiчервени at least 15 mg / cm2 and our result is 343.3  mg / cm2.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</si>
  <si>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усточивост на киселини and bases
resistance to short-term contact with hot substrate at a temperature of 180°C</t>
  </si>
  <si>
    <t>Усилено дишащи, Композитно бомбе, Без метал, Светлоотразителни елементи</t>
  </si>
  <si>
    <t>Усилено дишащи, Лесно почистване на горната част</t>
  </si>
  <si>
    <t>Усилено дишащи, Лесно почистване на горната част, Пране при 30 градуса</t>
  </si>
  <si>
    <t>Усилено дишащи, Усилена издържливост на горната част, Композитно бомбе, Без метал, Допълнително подсилване в горната част, Подходящи за работа на колене, Ниски, Дезинфекция</t>
  </si>
  <si>
    <t>Усилено дишащи
lining - increased water vapor permeability in the requirements of min 0.8 mg / (cm2 * h) - our result is 42.9 mg / (cm2 * h), the water vapor ratio is requiчервени at least 15 mg / cm2 and our result is 343.3 mg / cm2
Усилена издържливост на горната част
зърнеста кожа - excellent parameters of tensile and tensile strength along and across, additionally it has tests for the friction resistance of the coating, which proves that the resistance to external factors, which cause abrasion of the face, exceeds the standards</t>
  </si>
  <si>
    <t>Усилено дишащи, Усилена издържливост на горната част, Композитно бомбе, Без метал, Допълнително подсилване в горната част, Подходящи за работа на колене, Ниски, Дезинфекция, PRO-TENDON technology (Achilles tendon protection)</t>
  </si>
  <si>
    <t>Усилено дишащи
lining - increased water vapor permeability in the requirements of min 0.8 mg / (cm2 * h) - our result is 42.9 c, the water vapor coefficient is requiчервени at least 15 mg / cm2 and our result is 343.3
material of the collar and tongue - increased water vapor permeability in the requirements of min 0.8 mg / (cm2 * h) - our result is 58.2 mg / (cm2 * h), the water vapor coefficient is minimum 15 mg / cm2 and our result is 466 mg / cm2
Усилена издържливост на горната част
зърнеста кожа - excellent parameters of tensile and tensile strength along and across, additionally it has tests for the friction resistance of the coating, which proves that the resistance to external factors, which cause abrasion of the face, exceeds the standards</t>
  </si>
  <si>
    <t>Усилено дишащи, Усилена издържливост на горната част, Композитно бомбе, Без метал, Допълнително подсилване в горната част, Подходящи за работа на колене, Ниски, Електроизолирани, Дезинфекция, PRO-TENDON technology (Achilles tendon protection), COLD PROTECTION technology</t>
  </si>
  <si>
    <t>Усилено дишащи, Усилена издържливост на горната част, Композитно бомбе, Без метал, Лесно почистване на горната част</t>
  </si>
  <si>
    <t>Усилено дишащи
lining - increased water vapor permeability, in the requirements of min 0.8 mg / (cm2 * h) - our result is 42.9 mg / (cm2 * h), the water vapor coefficient is requiчервени at least 15 mg / cm2 and our result is 343.3 mg / cm2
upper текстил - increased water vapor permeability, in the requirements of min 0.8 mg / (cm2 * h) - our result is 31.8 mg / (cm2 * h), the water vapor ratio is minimum 15 mg / cm2 and our result is 254, 4 mg / cm2
Усилена издържливост на горната част
upper текстил - excellent tear strength parameters, with a minimum requirement of 60 N - our tearing result along the length is 199 N and across it is 107 N</t>
  </si>
  <si>
    <t>Усилено дишащи, Усилена издържливост на горната част, Композитно бомбе, Без метал, Лесно почистване на горната част, Допълнително подсилване в горната част, Подходящи за работа на колене, Ниски, Дезинфекция</t>
  </si>
  <si>
    <t>Усилено дишащи
lining - increased water vapor permeability in the requirements of min 0.8 mg / (cm2 * h) - our result is 42.9 mg / (cm2 * h), the water vapor ratio is requiчервени minimum 15 mg / cm2 - our result is 343.3 mg / cm2
collar and tongue material - increased water vapor permeability in the requirements of min 0.8 mg / (cm2 * h) - our result is 58.2 mg / (cm2 * h), the water vapor coefficient is minimum 15 mg / cm2 - our result is 466 mg / cm2
Усилена издържливост на горната част
зърнеста кожа - excellent parameters of tensile and tensile strength along and across, additionally it has tests for the friction resistance of the coating, which proves that the resistance to external factors, which cause abrasion of the face, exceeds the standards</t>
  </si>
  <si>
    <t>Усилено дишащи, Усилена издържливост на горната част, Композитно бомбе, Без метал, Лесно почистване на горната част, Допълнително подсилване в горната част, Подходящи за работа на колене, Ниски, Дезинфекция, PRO-TENDON technology (Achilles tendon protection)</t>
  </si>
  <si>
    <t>Усилено дишащи
lining - increased water vapor permeability in the requirements of min 0.8 mg / (cm2 * h) - our result is 42.9 mg / (cm2 * h), the water vapor ratio is requiчервени minimum 15 mg / cm2 - our result is 343.3 mg / cm2
collar and tongue material - increased water vapor permeability in the requirements of min 0.8 mg / (cm2 * h) - our result is 58.2 mg / (cm2 * h), the water vapor coefficient is minimum 15 mg / cm2 - our result is 466 mg / cm2
Усилена издържливост на горната част
зърнеста кожа - excellent parameters  tensile strength along and across a minimum of 15 N / mm2 is requiчервени and our result is 29.1 N / mm2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</si>
  <si>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ratio is requiчервени minimum 15 mg / cm2 - our result is 343.3 mg / cm2
collar and tongue material - increased water vapor permeability in the requirements of min 0.8 mg / (cm2 * h) - our result is 58.2 mg / (cm2 * h), the water vapor coefficient is minimum 15 mg / cm2 - our result is 466 mg / cm2
Усилена издържливост на горната част
зърнеста кожа - excellent parameters of tensile strength a minimum of 15 N / mm2 is requiчервени and our result is 29.1 N / mm2
усточивост на киселини and bases
resistance to short-term contact with hot substrate at a temperature of 180°C</t>
  </si>
  <si>
    <t>Усилено дишащи, Усилена издържливост на горната част, Композитно бомбе, Без метал, Лесно почистване на горната част, Допълнително подсилване в горната част, Подходящи за работа на колене, Ниски, Електроизолирани, Дезинфекция, PRO-TENDON technology (Achilles tendon protection), COLD PROTECTION technology</t>
  </si>
  <si>
    <t>Усилено дишащи
lining - increased water vapor permeability in the requirements of min 0.8 mg / (cm2 * h) - our result is 42.9 mg / (cm2 * h), the water vapor ratio is requiчервени minimum 15 mg / cm2 - our result is 343.3 mg / cm2
collar and tongue material - increased water vapor permeability in the requirements of min 0.8 mg / (cm2 * h) - our result is 58.2 mg / (cm2 * h), the water vapor coefficient is minimum 15 mg / cm2 - our result is 466 mg / cm2
Усилена издържливост на горната част
зърнеста кожа - excellent parameters of tensile strength a minimum of 15 N / mm2 is requiчервени and our result is 29.1 N / mm2
усточивост на киселини and bases
resistance to short-term contact with hot substrate at a temperature of 180°C</t>
  </si>
  <si>
    <t>Усилено дишащи, Усилена издържливост на горната част, Композитно бомбе, Без метал, Лесно почистване на горната част, Допълнително подсилване в горната част, Подходящи за работа на колене, Светлоотразителни елементи, Ниски, Дезинфекция, PRO-TENDON technology (Achilles tendon protection)</t>
  </si>
  <si>
    <t>Усилено дишащи
lining - increased water vapor permeability in the requirements of min 0.8 mg / (cm2 * h) - our result is 42.9 mg / (cm2 * h), the water vapor coefficient is requiчервени at least 15 mg / cm2 and our result is 343.3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</si>
  <si>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издържливост на горната част, Композитно бомбе, Без метал, Лесно почистване на горната част, Допълнително подсилване в горната част, Подходящи за работа на колене, Светлоотразителни елементи, Ниски, Електроизолирани, Дезинфекция, PRO-TENDON technology (Achilles tendon protection), COLD PROTECTION technology</t>
  </si>
  <si>
    <t>Усилено дишащи
lining - increased water vapor permeability in the requirements of min 0.8 mg/(cm2*h) - our result is 42.9 mg / (cm2*h), the water vapor coefficient is requiчервени at least 15 mg/cm2 and our result is 343.3 mg/cm2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</si>
  <si>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издържливост на горната част, Композитно бомбе, Без метал, Лесно почистване на горната част, Дезинфекция</t>
  </si>
  <si>
    <t>Усилено дишащи
lining - increased water vapor permeability in the requirements of min 0.8 mg / (cm2 * h) - our result is 42.9  mg / (cm2 * h), the water vapor coefficient is requiчервени at least 15 mg / cm2 and our result is 343.3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</si>
  <si>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lining - increased water vapor permeability in the requirements of min 0.8 mg / (cm2 * h) - our result is 42.9  mg / (cm2 * h), the water vapor coefficient is requiчервени at least 15 mg / cm2 and our result is 343.3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</si>
  <si>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издържливост на горната част, Композитно бомбе, Без метал, Лесно почистване на горната част, Дезинфекция, PRO-TENDON technology (Achilles tendon protection)</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</si>
  <si>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</si>
  <si>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издържливост на горната част, Лесно почистване на горната част</t>
  </si>
  <si>
    <t>Усилена издържливост на горната част
кожа - tear resistance in requirements not less than 120 N, our result 206 N, tensile strength in requirements not less than 15 N / mm2, our result 25 N / mm2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</si>
  <si>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Усилена издържливост на горната част
кожа - tear resistance in the requirements of not less than 120 N, our result 234 N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</si>
  <si>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Усилено дишащи, Усилена издържливост на горната част, Лесно почистване на горната част, Пране при 30 градуса</t>
  </si>
  <si>
    <t>Усилена издържливост на горната част
микрофибър - tear resistance in accordance with the requirements of the standard minimum 60 N, our result 158 N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</si>
  <si>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Усилена издържливост на горната част
микрофибър - tear resistance in accordance with the requirements of the standard minimum 60 N, our result 222 N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</si>
  <si>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Усилена издържливост на горната част
микрофибър - tear resistance in accordance with the requirements of the standard minimum 60 N, our result 209 N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</si>
  <si>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Усилена издържливост на горната част
микрофибър - tear resistance in accordance with the requirements of the standard minimum 60 N, our result 176 N
Усилено дишащи
lining - increased water vapor permeability in the requirements of mininum 2.0 mg / (cm2 * h) - our result is 14.6 mg / (cm2 * h), the water vapor coefficient is requiчервени at least 20 mg / cm2 and our result is 117.2 mg / cm2
sole усточивост на киселини and bases
sole усточивост на краткосрочен контакт с гореща повърхност 180 ° C</t>
  </si>
  <si>
    <t>Усилено дишащи, Усилена издържливост на горната част, Без метал, Допълнително подсилване в горната част, Подходящи за работа на колене, Ниски, Дезинфекция</t>
  </si>
  <si>
    <t>Усилено дишащи
lining - increased water vapor permeability in the requirements of min 0.8 mg / (cm2 * h) - our result is 42.9 mg / (cm2 * h), the water vapor coefficient is requiчервени at least 15 mg / cm2 and our result is 343.3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</si>
  <si>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издържливост на горната част, Без метал, Допълнително подсилване в горната част, Подходящи за работа на колене, Ниски, Дезинфекция, PRO-TENDON technology (Achilles tendon protection)</t>
  </si>
  <si>
    <t>Усилено дишащи, Усилена издържливост на горната част, Без метал, Допълнително подсилване в горната част, Подходящи за работа на колене, Светлоотразителни елементи, Ниски, Дезинфекция, PRO-TENDON technology (Achilles tendon protection)</t>
  </si>
  <si>
    <t>Усилено дишащи, Усилена издържливост на горната част, Без метал, Ниски, Дезинфекция</t>
  </si>
  <si>
    <t>Усилено дишащи, Усилена издържливост на горната част, Без метал, Лесно почистване на горната част, Ниски, Дезинфекция</t>
  </si>
  <si>
    <t>Усилено дишащи
lining - increased water vapor permeability in the requirements of min 0.8 mg / (cm2 * h) - our result is 42.9 mg / (cm2 * h), the water vapor coefficient is requiчервени at least 15 mg / cm2 and our result is 343.3 mg / cm2
Усилена издържливост на горната част
зърнеста кожа - excellent parameters of tensile strength and tensile strength along and across, a minimum of 15 N / mm2 is requiчервени and our result is 29.1 N / mm2,</t>
  </si>
  <si>
    <t>Усилено дишащи, Усилена водоустойчивост, Композитно бомбе, Допълнително подсилване в горната част, Подходящи за работа на колене, Ниски, Дезинфекция</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</si>
  <si>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</si>
  <si>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Усилена водоустойчивост, Композитно бомбе, Допълнително подсилване в горната част, Подходящи за работа на колене, Ниски, Дезинфекция, PRO-TENDON technology (Achilles tendon protection)</t>
  </si>
  <si>
    <t>Усилено дишащиlining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</si>
  <si>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</si>
  <si>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Усилена водоустойчивост, Композитно бомбе, Без метал, Допълнително подсилване в горната част, Подходящи за работа на колене, Ниски, Дезинфекция</t>
  </si>
  <si>
    <t>Усилено дишащи
lining - increased water vapor permeability in the requirements of min 0.8 mg / (cm2 * h) - our result is 42.9 mg / (cm2 * h) ,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набук - water vapor permeability in the requirements not less than 0.8 mg / (cm2 * h) - our result 10.3 mg / (cm2 * h)
Усилена водоустойчивост
набук - water permeability after 60 minutes under dynamic conditions in requirements not more than 0.2 g - our result 0.02 g, water absorption after 60 minutes under dynamic conditions in requirements not more than 30% - our result 5.3%
усточивост на киселини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</si>
  <si>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набук - water vapor permeability in the requirements not less than 0.8 mg / (cm2 * h) - our result 10.3 mg / (cm2 * h)
Усилена водоустойчивост
набук - water permeability after 60 minutes under dynamic conditions in requirements not more than 0.2 g - our result 0.02 g, water absorption after 60 minutes under dynamic conditions in requirements not more than 30% - our result 5.3%
усточивост на киселини
resistance to short-term contact with hot substrate at a temperature of 180°C</t>
  </si>
  <si>
    <t>Усилено дишащи, Усилена водоустойчивост, Композитно бомбе, Без метал, Допълнително подсилване в горната част, Подходящи за работа на колене, Ниски, Дезинфекция, PRO-TENDON technology (Achilles tendon protection)</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</si>
  <si>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набук - water vapor permeability in the requirements not less than 0.8 mg / (cm2 * h) - our result 10.3 mg / (cm2 * h)
Усилена водоустойчивост
набук - water permeability after 60 minutes under dynamic conditions in requirements not more than 0.2 g - our result 0.02 g, water absorption after 60 minutes under dynamic conditions in requirements not more than 30% - our result 5.3%
усточивост на киселини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</si>
  <si>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набук - water vapor permeability in the requirements not less than 0.8 mg / (cm2 * h) - our result 10.3 mg / (cm2 * h)
Усилена водоустойчивост
набук - water permeability after 60 minutes under dynamic conditions in requirements not more than 0.2 g - our result 0.02 g, water absorption after 60 minutes under dynamic conditions in requirements not more than 30% - our result 5.3%
усточивост на киселини
resistance to short-term contact with hot substrate at a temperature of 180°C</t>
  </si>
  <si>
    <t>Усилено дишащи, Усилена водоустойчивост, Композитно бомбе, Без метал, Допълнително подсилване в горната част, Подходящи за работа на колене, Ниски, Електроизолирани, Дезинфекция, PRO-TENDON technology (Achilles tendon protection), COLD PROTECTION technology</t>
  </si>
  <si>
    <t>Усилено дишащи, Усилена водоустойчивост, Композитно бомбе, Без метал, Лесно почистване на горната част, Дезинфекция</t>
  </si>
  <si>
    <t>Усилено дишащи
lining - increased water vapor permeability in the requirements of min 0.8 mg / (cm2 * h) - our result is 42.9  mg / (cm2 * h), the water vapor coefficient is requiчервени at least 15 mg / cm2 and our result is 343.3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</si>
  <si>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</si>
  <si>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</si>
  <si>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Усилена водоустойчивост, Композитно бомбе, Без метал, Лесно почистване на горната част, Дезинфекция, PRO-TENDON technology (Achilles tendon protection)</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</si>
  <si>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</si>
  <si>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</si>
  <si>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lining - increased water vapor permeability in the requirements of min 0.8 mg / (cm2 * h) - our result is 42.9 mg / (cm2 * h), the water vapor coefficient is requiчервени at least 15 mg / cm2 and our result is 343.3  mg / cm2.                      
collar and tongue material - increased water vapor permeability in the requirements of min 0.8 mg / (cm2 * h) - our result is 58.2 mg / (cm2 * h), the water vapor coefficient is minimum 15 mg / cm2 and our result is 466 mg / cm2  
Усилена водоустойчивост
velour - water absorption after 60 min - in requirements no more than 30% - our result 3.15%, water permeability expressed as material weight gain after 60 min - in requirements no more than 0.2 g - our result 0.02 g
усточивост на киселини and bases
resistance to short-term contact with hot substrate at a temperature of 180°C</t>
  </si>
  <si>
    <t>Усилено дишащи, Усилена водоустойчивост, Без метал, Ниски, Дезинфекция</t>
  </si>
  <si>
    <t>Усилено дишащи
velor - increased water vapor permeability in the requirements of min 0.8 mg / (cm2 * h) - our result is 8.8 mg / (cm2 * h), the water vapor coefficient is requiчервени at least 15 mg / cm2 - our result is 79.4 mg / cm2
Усилена водоустойчивост
velor - water absorption after 60 min - in requirements no more than 30% - our result 3.15%, water permeability expressed as material weight gain after 60 min - in requirements no more than 0.2 g - our result 0.02 g</t>
  </si>
  <si>
    <t>Усилено дишащи, Усилена водоустойчивост, Без метал, Лесно почистване на горната част, Допълнително подсилване в горната част, Подходящи за работа на колене, Ниски, Дезинфекция</t>
  </si>
  <si>
    <t>Усилено дишащи, Без метал, Ниски, Дезинфекция</t>
  </si>
  <si>
    <t>Усилено дишащи, Стоманено бомбе</t>
  </si>
  <si>
    <t>Усилено дишащи, Стоманено бомбе, Лесно почистване на горната част, Ниски, Пране при 30 градуса</t>
  </si>
  <si>
    <t>Усилено дишащи, Стоманено бомбе, Пране при 30 градуса</t>
  </si>
  <si>
    <t>Усилено дишащи, Стоманено бомбе, Пране при 30 градуса, Съвместими с HACCP</t>
  </si>
  <si>
    <t>Усилено дишащи, Пране при 30 градуса</t>
  </si>
  <si>
    <t>Усилено дишащи, Пране при 30 градуса, Съвместими с HACCP</t>
  </si>
  <si>
    <t>Усилено дишащи
lining - increased water vapor permeability in the requirements of min 0.8 mg/ (cm2 * h) - our result is 42.9 mg / (cm2 * h), the water vapor coefficient is requiчервени at least 15 mg / cm2 and our result is 343.3 mg/cm2
collar and tongue material - increased water vapor permeability in the requirements of min 0.8 mg/ (cm2*h) - our result is 58.2 mg/ (cm2*h), the water vapor coefficient is minimum 15 mg/cm2 and our result is 466 mg/cm2
Усилена издържливост на горната част
зърнеста кожа - excellent parameters of tensile strength and tensile strength along and across, a minimum of 15 N / mm2 is requiчервени and our result is 29.1 N / mm2</t>
  </si>
  <si>
    <t>Лесни за почистване материали, Термален комфорт заради насоченост на кожуха, Подметки от висококачествен каучук подходящ за всяка повърхност</t>
  </si>
  <si>
    <t>Аксесоари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</si>
</sst>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0"/>
      <color indexed="8"/>
      <name val="arial"/>
      <charset val="1"/>
    </font>
    <font>
      <sz val="10"/>
      <color indexed="8"/>
      <name val="arial"/>
      <charset val="1"/>
    </font>
    <font>
      <b/>
      <sz val="10"/>
      <color indexed="8"/>
      <name val="Arial"/>
      <family val="2"/>
      <charset val="238"/>
    </font>
    <font>
      <sz val="10"/>
      <color indexed="8"/>
      <name val="Arial"/>
      <family val="2"/>
      <charset val="238"/>
    </font>
    <font>
      <u/>
      <sz val="10"/>
      <color theme="10"/>
      <name val="Arial"/>
      <family val="2"/>
      <charset val="238"/>
    </font>
    <font>
      <sz val="10"/>
      <color rgb="FF000000"/>
      <name val="Arial"/>
      <family val="2"/>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2">
    <xf numFmtId="0" fontId="0" fillId="0" borderId="0"/>
    <xf numFmtId="0" fontId="4" fillId="0" borderId="0" applyNumberFormat="0" applyFill="0" applyBorder="0" applyAlignment="0" applyProtection="0"/>
  </cellStyleXfs>
  <cellXfs count="11">
    <xf numFmtId="0" fontId="1" fillId="0" borderId="0" xfId="0" applyFont="1"/>
    <xf numFmtId="0" fontId="2" fillId="0" borderId="0" xfId="0" applyFont="1"/>
    <xf numFmtId="0" fontId="3" fillId="0" borderId="0" xfId="0" applyFont="1"/>
    <xf numFmtId="0" fontId="3" fillId="0" borderId="0" xfId="0" applyFont="1" applyAlignment="1">
      <alignment wrapText="1"/>
    </xf>
    <xf numFmtId="0" fontId="3" fillId="2" borderId="0" xfId="0" applyFont="1" applyFill="1"/>
    <xf numFmtId="0" fontId="4" fillId="0" borderId="0" xfId="1" applyFill="1" applyAlignment="1"/>
    <xf numFmtId="0" fontId="5" fillId="0" borderId="0" xfId="0" applyFont="1" applyAlignment="1">
      <alignment vertical="center"/>
    </xf>
    <xf numFmtId="49" fontId="3" fillId="0" borderId="0" xfId="0" applyNumberFormat="1" applyFont="1"/>
    <xf numFmtId="49" fontId="3" fillId="0" borderId="0" xfId="0" quotePrefix="1" applyNumberFormat="1" applyFont="1"/>
    <xf numFmtId="0" fontId="4" fillId="0" borderId="0" xfId="1"/>
    <xf numFmtId="0" fontId="3" fillId="0" borderId="0" xfId="0" quotePrefix="1" applyFont="1" applyAlignment="1">
      <alignment wrapText="1"/>
    </xf>
  </cellXfs>
  <cellStyles count="2">
    <cellStyle name="Hyperlink" xfId="1" builtinId="8"/>
    <cellStyle name="Normal" xfId="0" builtinId="0"/>
  </cellStyles>
  <dxfs count="25">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
      <font>
        <b/>
        <i val="0"/>
        <strike val="0"/>
        <condense val="0"/>
        <extend val="0"/>
        <outline val="0"/>
        <shadow val="0"/>
        <u val="none"/>
        <vertAlign val="baseline"/>
        <sz val="10"/>
        <color indexed="8"/>
        <name val="Arial"/>
        <family val="2"/>
        <charset val="238"/>
        <scheme val="none"/>
      </font>
      <fill>
        <patternFill patternType="none">
          <fgColor indexed="64"/>
          <bgColor indexed="65"/>
        </patternFill>
      </fill>
      <alignment horizontal="general" vertical="bottom"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342900</xdr:colOff>
          <xdr:row>0</xdr:row>
          <xdr:rowOff>66675</xdr:rowOff>
        </xdr:from>
        <xdr:to>
          <xdr:col>2</xdr:col>
          <xdr:colOff>1533525</xdr:colOff>
          <xdr:row>0</xdr:row>
          <xdr:rowOff>485775</xdr:rowOff>
        </xdr:to>
        <xdr:sp macro="" textlink="">
          <xdr:nvSpPr>
            <xdr:cNvPr id="1048" name="Button 24" hidden="1">
              <a:extLst>
                <a:ext uri="{63B3BB69-23CF-44E3-9099-C40C66FF867C}">
                  <a14:compatExt spid="_x0000_s1048"/>
                </a:ext>
                <a:ext uri="{FF2B5EF4-FFF2-40B4-BE49-F238E27FC236}">
                  <a16:creationId xmlns:a16="http://schemas.microsoft.com/office/drawing/2014/main" id="{00000000-0008-0000-0000-00001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TableToJsonClipboard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W530" totalsRowShown="0" headerRowDxfId="24" dataDxfId="23">
  <autoFilter ref="A1:W530" xr:uid="{00000000-000C-0000-FFFF-FFFF00000000}"/>
  <sortState xmlns:xlrd2="http://schemas.microsoft.com/office/spreadsheetml/2017/richdata2" ref="A2:W530">
    <sortCondition ref="G1:G530"/>
  </sortState>
  <tableColumns count="23">
    <tableColumn id="1" xr3:uid="{00000000-0010-0000-0000-000001000000}" name="Index" dataDxfId="22"/>
    <tableColumn id="2" xr3:uid="{00000000-0010-0000-0000-000002000000}" name="Name" dataDxfId="21"/>
    <tableColumn id="3" xr3:uid="{00000000-0010-0000-0000-000003000000}" name="Trade name" dataDxfId="20"/>
    <tableColumn id="4" xr3:uid="{00000000-0010-0000-0000-000004000000}" name="Internal name" dataDxfId="19"/>
    <tableColumn id="5" xr3:uid="{00000000-0010-0000-0000-000005000000}" name="CARD" dataDxfId="18"/>
    <tableColumn id="6" xr3:uid="{00000000-0010-0000-0000-000006000000}" name="Description" dataDxfId="17"/>
    <tableColumn id="7" xr3:uid="{00000000-0010-0000-0000-000007000000}" name="Line" dataDxfId="16"/>
    <tableColumn id="8" xr3:uid="{00000000-0010-0000-0000-000008000000}" name="Brand" dataDxfId="15"/>
    <tableColumn id="9" xr3:uid="{00000000-0010-0000-0000-000009000000}" name="Industry" dataDxfId="14"/>
    <tableColumn id="10" xr3:uid="{00000000-0010-0000-0000-00000A000000}" name="Product type" dataDxfId="13"/>
    <tableColumn id="11" xr3:uid="{00000000-0010-0000-0000-00000B000000}" name="Color" dataDxfId="12"/>
    <tableColumn id="12" xr3:uid="{00000000-0010-0000-0000-00000C000000}" name="Norm" dataDxfId="11"/>
    <tableColumn id="13" xr3:uid="{00000000-0010-0000-0000-00000D000000}" name="Certificate" dataDxfId="10"/>
    <tableColumn id="14" xr3:uid="{00000000-0010-0000-0000-00000E000000}" name="Product features" dataDxfId="9"/>
    <tableColumn id="15" xr3:uid="{00000000-0010-0000-0000-00000F000000}" name="Product characteristics" dataDxfId="8"/>
    <tableColumn id="16" xr3:uid="{00000000-0010-0000-0000-000010000000}" name="Upper material" dataDxfId="7"/>
    <tableColumn id="17" xr3:uid="{00000000-0010-0000-0000-000011000000}" name="Lining &amp; Sock" dataDxfId="6"/>
    <tableColumn id="18" xr3:uid="{00000000-0010-0000-0000-000012000000}" name="Insole" dataDxfId="5"/>
    <tableColumn id="19" xr3:uid="{00000000-0010-0000-0000-000013000000}" name="Sole" dataDxfId="4"/>
    <tableColumn id="20" xr3:uid="{00000000-0010-0000-0000-000014000000}" name="Fastening" dataDxfId="3"/>
    <tableColumn id="21" xr3:uid="{00000000-0010-0000-0000-000015000000}" name="Sizes on request" dataDxfId="2"/>
    <tableColumn id="22" xr3:uid="{00000000-0010-0000-0000-000016000000}" name="Weight" dataDxfId="1"/>
    <tableColumn id="23" xr3:uid="{00000000-0010-0000-0000-000017000000}" name="Available sizes"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7" Type="http://schemas.openxmlformats.org/officeDocument/2006/relationships/table" Target="../tables/table1.xml"/><Relationship Id="rId2" Type="http://schemas.openxmlformats.org/officeDocument/2006/relationships/hyperlink" Target="https://protektor.sai.pl/bin/e613adad-0018-4059-98c7-df7a8583a8ff" TargetMode="External"/><Relationship Id="rId1" Type="http://schemas.openxmlformats.org/officeDocument/2006/relationships/hyperlink" Target="https://protektor.sai.pl/bin/45e9a607-48ef-4f27-b5e9-0b965127de33"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Z530"/>
  <sheetViews>
    <sheetView tabSelected="1" zoomScaleNormal="100" workbookViewId="0">
      <pane ySplit="1" topLeftCell="A266" activePane="bottomLeft" state="frozen"/>
      <selection pane="bottomLeft" activeCell="A291" sqref="A291"/>
    </sheetView>
  </sheetViews>
  <sheetFormatPr defaultColWidth="23.7109375" defaultRowHeight="12.75" customHeight="1" x14ac:dyDescent="0.2"/>
  <sheetData>
    <row r="1" spans="1:26" ht="59.25" customHeight="1" x14ac:dyDescent="0.2">
      <c r="A1" s="1" t="s">
        <v>0</v>
      </c>
      <c r="B1" s="1" t="s">
        <v>1</v>
      </c>
      <c r="C1" s="1" t="s">
        <v>2</v>
      </c>
      <c r="D1" s="1" t="s">
        <v>3</v>
      </c>
      <c r="E1" s="1" t="s">
        <v>2516</v>
      </c>
      <c r="F1" s="1" t="s">
        <v>4</v>
      </c>
      <c r="G1" s="1" t="s">
        <v>5</v>
      </c>
      <c r="H1" s="1" t="s">
        <v>6</v>
      </c>
      <c r="I1" s="1" t="s">
        <v>7</v>
      </c>
      <c r="J1" s="1" t="s">
        <v>8</v>
      </c>
      <c r="K1" s="1" t="s">
        <v>9</v>
      </c>
      <c r="L1" s="1" t="s">
        <v>10</v>
      </c>
      <c r="M1" s="1" t="s">
        <v>11</v>
      </c>
      <c r="N1" s="1" t="s">
        <v>12</v>
      </c>
      <c r="O1" s="1" t="s">
        <v>13</v>
      </c>
      <c r="P1" s="1" t="s">
        <v>14</v>
      </c>
      <c r="Q1" s="1" t="s">
        <v>15</v>
      </c>
      <c r="R1" s="1" t="s">
        <v>16</v>
      </c>
      <c r="S1" s="1" t="s">
        <v>17</v>
      </c>
      <c r="T1" s="1" t="s">
        <v>18</v>
      </c>
      <c r="U1" s="1" t="s">
        <v>19</v>
      </c>
      <c r="V1" s="1" t="s">
        <v>20</v>
      </c>
      <c r="W1" s="1" t="s">
        <v>21</v>
      </c>
    </row>
    <row r="2" spans="1:26" ht="12.75" customHeight="1" x14ac:dyDescent="0.2">
      <c r="A2" s="2" t="s">
        <v>1512</v>
      </c>
      <c r="B2" s="2" t="s">
        <v>1513</v>
      </c>
      <c r="C2" s="2" t="s">
        <v>1514</v>
      </c>
      <c r="D2" s="2" t="s">
        <v>2166</v>
      </c>
      <c r="E2" s="2" t="s">
        <v>2956</v>
      </c>
      <c r="F2" s="6" t="s">
        <v>3040</v>
      </c>
      <c r="G2" s="2" t="s">
        <v>1131</v>
      </c>
      <c r="H2" s="2" t="s">
        <v>536</v>
      </c>
      <c r="I2" s="2" t="s">
        <v>3106</v>
      </c>
      <c r="J2" s="2" t="s">
        <v>3191</v>
      </c>
      <c r="K2" s="2" t="s">
        <v>1984</v>
      </c>
      <c r="L2" s="2" t="s">
        <v>41</v>
      </c>
      <c r="M2" s="7" t="s">
        <v>1132</v>
      </c>
      <c r="N2" s="2" t="s">
        <v>3293</v>
      </c>
      <c r="O2" s="3" t="s">
        <v>3294</v>
      </c>
      <c r="P2" s="2" t="s">
        <v>3170</v>
      </c>
      <c r="Q2" s="2" t="s">
        <v>3162</v>
      </c>
      <c r="R2" s="2" t="s">
        <v>3159</v>
      </c>
      <c r="S2" s="2" t="s">
        <v>2338</v>
      </c>
      <c r="T2" s="2" t="s">
        <v>2367</v>
      </c>
      <c r="U2" s="2" t="s">
        <v>118</v>
      </c>
      <c r="V2" s="2" t="s">
        <v>2446</v>
      </c>
      <c r="W2" s="2" t="s">
        <v>901</v>
      </c>
      <c r="Y2" t="str">
        <f>PROPER(Table1[[#This Row],[Industry]])</f>
        <v>Гастрономия / Кухня, Хорека, Болничен Персонал, Фармацевтика</v>
      </c>
      <c r="Z2" t="str">
        <f>PROPER(Table1[[#This Row],[Insole]])</f>
        <v>Текстил, Интегрирана Стелка</v>
      </c>
    </row>
    <row r="3" spans="1:26" ht="12.75" customHeight="1" x14ac:dyDescent="0.2">
      <c r="A3" s="2" t="s">
        <v>1515</v>
      </c>
      <c r="B3" s="2" t="s">
        <v>1516</v>
      </c>
      <c r="C3" s="2" t="s">
        <v>1517</v>
      </c>
      <c r="D3" s="2" t="s">
        <v>2167</v>
      </c>
      <c r="E3" s="2" t="s">
        <v>2957</v>
      </c>
      <c r="F3" s="6" t="s">
        <v>3040</v>
      </c>
      <c r="G3" s="2" t="s">
        <v>1131</v>
      </c>
      <c r="H3" s="2" t="s">
        <v>536</v>
      </c>
      <c r="I3" s="2" t="s">
        <v>3106</v>
      </c>
      <c r="J3" s="2" t="s">
        <v>3191</v>
      </c>
      <c r="K3" s="2" t="s">
        <v>1984</v>
      </c>
      <c r="L3" s="2" t="s">
        <v>41</v>
      </c>
      <c r="M3" s="7" t="s">
        <v>1132</v>
      </c>
      <c r="N3" s="2" t="s">
        <v>3293</v>
      </c>
      <c r="O3" s="3" t="s">
        <v>3294</v>
      </c>
      <c r="P3" s="2" t="s">
        <v>3170</v>
      </c>
      <c r="Q3" s="2" t="s">
        <v>3162</v>
      </c>
      <c r="R3" s="2" t="s">
        <v>3159</v>
      </c>
      <c r="S3" s="2" t="s">
        <v>2338</v>
      </c>
      <c r="T3" s="2" t="s">
        <v>2367</v>
      </c>
      <c r="U3" s="2" t="s">
        <v>118</v>
      </c>
      <c r="V3" s="2" t="s">
        <v>2468</v>
      </c>
      <c r="W3" s="2" t="s">
        <v>901</v>
      </c>
      <c r="Y3" t="str">
        <f>PROPER(Table1[[#This Row],[Industry]])</f>
        <v>Гастрономия / Кухня, Хорека, Болничен Персонал, Фармацевтика</v>
      </c>
      <c r="Z3" t="str">
        <f>PROPER(Table1[[#This Row],[Insole]])</f>
        <v>Текстил, Интегрирана Стелка</v>
      </c>
    </row>
    <row r="4" spans="1:26" ht="12.75" customHeight="1" x14ac:dyDescent="0.2">
      <c r="A4" s="2" t="s">
        <v>1518</v>
      </c>
      <c r="B4" s="2" t="s">
        <v>1519</v>
      </c>
      <c r="C4" s="2" t="s">
        <v>1520</v>
      </c>
      <c r="D4" s="2" t="s">
        <v>2168</v>
      </c>
      <c r="E4" s="2" t="s">
        <v>2958</v>
      </c>
      <c r="F4" s="6" t="s">
        <v>3040</v>
      </c>
      <c r="G4" s="2" t="s">
        <v>1131</v>
      </c>
      <c r="H4" s="2" t="s">
        <v>536</v>
      </c>
      <c r="I4" s="2" t="s">
        <v>3106</v>
      </c>
      <c r="J4" s="2" t="s">
        <v>3191</v>
      </c>
      <c r="K4" s="2" t="s">
        <v>1984</v>
      </c>
      <c r="L4" s="2" t="s">
        <v>41</v>
      </c>
      <c r="M4" s="7" t="s">
        <v>1132</v>
      </c>
      <c r="N4" s="2" t="s">
        <v>3293</v>
      </c>
      <c r="O4" s="3" t="s">
        <v>3294</v>
      </c>
      <c r="P4" s="2" t="s">
        <v>3170</v>
      </c>
      <c r="Q4" s="2" t="s">
        <v>3162</v>
      </c>
      <c r="R4" s="2" t="s">
        <v>3159</v>
      </c>
      <c r="S4" s="2" t="s">
        <v>2338</v>
      </c>
      <c r="T4" s="2" t="s">
        <v>2367</v>
      </c>
      <c r="U4" s="2" t="s">
        <v>118</v>
      </c>
      <c r="V4" s="2" t="s">
        <v>2454</v>
      </c>
      <c r="W4" s="2" t="s">
        <v>49</v>
      </c>
      <c r="Y4" t="str">
        <f>PROPER(Table1[[#This Row],[Industry]])</f>
        <v>Гастрономия / Кухня, Хорека, Болничен Персонал, Фармацевтика</v>
      </c>
      <c r="Z4" t="str">
        <f>PROPER(Table1[[#This Row],[Insole]])</f>
        <v>Текстил, Интегрирана Стелка</v>
      </c>
    </row>
    <row r="5" spans="1:26" ht="12.75" customHeight="1" x14ac:dyDescent="0.2">
      <c r="A5" s="2" t="s">
        <v>1521</v>
      </c>
      <c r="B5" s="2" t="s">
        <v>1522</v>
      </c>
      <c r="C5" s="2" t="s">
        <v>1523</v>
      </c>
      <c r="D5" s="2" t="s">
        <v>2169</v>
      </c>
      <c r="E5" s="2" t="s">
        <v>2959</v>
      </c>
      <c r="F5" s="6" t="s">
        <v>3040</v>
      </c>
      <c r="G5" s="2" t="s">
        <v>1131</v>
      </c>
      <c r="H5" s="2" t="s">
        <v>536</v>
      </c>
      <c r="I5" s="2" t="s">
        <v>3106</v>
      </c>
      <c r="J5" s="2" t="s">
        <v>3191</v>
      </c>
      <c r="K5" s="2" t="s">
        <v>1984</v>
      </c>
      <c r="L5" s="2" t="s">
        <v>41</v>
      </c>
      <c r="M5" s="7" t="s">
        <v>1132</v>
      </c>
      <c r="N5" s="2" t="s">
        <v>3293</v>
      </c>
      <c r="O5" s="3" t="s">
        <v>3294</v>
      </c>
      <c r="P5" s="2" t="s">
        <v>3170</v>
      </c>
      <c r="Q5" s="2" t="s">
        <v>3162</v>
      </c>
      <c r="R5" s="2" t="s">
        <v>3159</v>
      </c>
      <c r="S5" s="2" t="s">
        <v>2338</v>
      </c>
      <c r="T5" s="2" t="s">
        <v>2367</v>
      </c>
      <c r="U5" s="2" t="s">
        <v>118</v>
      </c>
      <c r="V5" s="2" t="s">
        <v>2469</v>
      </c>
      <c r="W5" s="2" t="s">
        <v>49</v>
      </c>
      <c r="Y5" t="str">
        <f>PROPER(Table1[[#This Row],[Industry]])</f>
        <v>Гастрономия / Кухня, Хорека, Болничен Персонал, Фармацевтика</v>
      </c>
      <c r="Z5" t="str">
        <f>PROPER(Table1[[#This Row],[Insole]])</f>
        <v>Текстил, Интегрирана Стелка</v>
      </c>
    </row>
    <row r="6" spans="1:26" ht="12.75" customHeight="1" x14ac:dyDescent="0.2">
      <c r="A6" s="2" t="s">
        <v>1530</v>
      </c>
      <c r="B6" s="2" t="s">
        <v>1531</v>
      </c>
      <c r="C6" s="2" t="s">
        <v>1532</v>
      </c>
      <c r="D6" s="2" t="s">
        <v>2170</v>
      </c>
      <c r="E6" s="2" t="s">
        <v>2962</v>
      </c>
      <c r="F6" s="6" t="s">
        <v>3040</v>
      </c>
      <c r="G6" s="2" t="s">
        <v>1131</v>
      </c>
      <c r="H6" s="2" t="s">
        <v>536</v>
      </c>
      <c r="I6" s="2" t="s">
        <v>3106</v>
      </c>
      <c r="J6" s="2" t="s">
        <v>3191</v>
      </c>
      <c r="K6" s="2" t="s">
        <v>1984</v>
      </c>
      <c r="L6" s="2" t="s">
        <v>41</v>
      </c>
      <c r="M6" s="7" t="s">
        <v>1132</v>
      </c>
      <c r="N6" s="2" t="s">
        <v>3293</v>
      </c>
      <c r="O6" s="3" t="s">
        <v>3294</v>
      </c>
      <c r="P6" s="2" t="s">
        <v>3170</v>
      </c>
      <c r="Q6" s="2" t="s">
        <v>3174</v>
      </c>
      <c r="R6" s="2" t="s">
        <v>3159</v>
      </c>
      <c r="S6" s="2" t="s">
        <v>2338</v>
      </c>
      <c r="T6" s="2" t="s">
        <v>2368</v>
      </c>
      <c r="U6" s="2" t="s">
        <v>118</v>
      </c>
      <c r="V6" s="2" t="s">
        <v>2446</v>
      </c>
      <c r="W6" s="2" t="s">
        <v>49</v>
      </c>
      <c r="Y6" t="str">
        <f>PROPER(Table1[[#This Row],[Industry]])</f>
        <v>Гастрономия / Кухня, Хорека, Болничен Персонал, Фармацевтика</v>
      </c>
      <c r="Z6" t="str">
        <f>PROPER(Table1[[#This Row],[Insole]])</f>
        <v>Текстил, Интегрирана Стелка</v>
      </c>
    </row>
    <row r="7" spans="1:26" ht="12.75" customHeight="1" x14ac:dyDescent="0.2">
      <c r="A7" s="2" t="s">
        <v>1524</v>
      </c>
      <c r="B7" s="2" t="s">
        <v>1525</v>
      </c>
      <c r="C7" s="2" t="s">
        <v>1526</v>
      </c>
      <c r="D7" s="2" t="s">
        <v>2198</v>
      </c>
      <c r="E7" s="2" t="s">
        <v>2960</v>
      </c>
      <c r="F7" s="6" t="s">
        <v>3040</v>
      </c>
      <c r="G7" s="2" t="s">
        <v>1131</v>
      </c>
      <c r="H7" s="2" t="s">
        <v>536</v>
      </c>
      <c r="I7" s="2" t="s">
        <v>3106</v>
      </c>
      <c r="J7" s="2" t="s">
        <v>3191</v>
      </c>
      <c r="K7" s="2" t="s">
        <v>1787</v>
      </c>
      <c r="L7" s="2" t="s">
        <v>41</v>
      </c>
      <c r="M7" s="7" t="s">
        <v>1132</v>
      </c>
      <c r="N7" s="2" t="s">
        <v>3293</v>
      </c>
      <c r="O7" s="3" t="s">
        <v>3294</v>
      </c>
      <c r="P7" s="2" t="s">
        <v>3170</v>
      </c>
      <c r="Q7" s="2" t="s">
        <v>3162</v>
      </c>
      <c r="R7" s="2" t="s">
        <v>3159</v>
      </c>
      <c r="S7" s="2" t="s">
        <v>2338</v>
      </c>
      <c r="T7" s="2" t="s">
        <v>2367</v>
      </c>
      <c r="U7" s="2" t="s">
        <v>118</v>
      </c>
      <c r="V7" s="2" t="s">
        <v>2454</v>
      </c>
      <c r="W7" s="2" t="s">
        <v>49</v>
      </c>
      <c r="Y7" t="str">
        <f>PROPER(Table1[[#This Row],[Industry]])</f>
        <v>Гастрономия / Кухня, Хорека, Болничен Персонал, Фармацевтика</v>
      </c>
      <c r="Z7" t="str">
        <f>PROPER(Table1[[#This Row],[Insole]])</f>
        <v>Текстил, Интегрирана Стелка</v>
      </c>
    </row>
    <row r="8" spans="1:26" ht="12.75" customHeight="1" x14ac:dyDescent="0.2">
      <c r="A8" s="2" t="s">
        <v>1527</v>
      </c>
      <c r="B8" s="2" t="s">
        <v>1528</v>
      </c>
      <c r="C8" s="2" t="s">
        <v>1529</v>
      </c>
      <c r="D8" s="2" t="s">
        <v>2199</v>
      </c>
      <c r="E8" s="2" t="s">
        <v>2961</v>
      </c>
      <c r="F8" s="6" t="s">
        <v>3040</v>
      </c>
      <c r="G8" s="2" t="s">
        <v>1131</v>
      </c>
      <c r="H8" s="2" t="s">
        <v>536</v>
      </c>
      <c r="I8" s="2" t="s">
        <v>3106</v>
      </c>
      <c r="J8" s="2" t="s">
        <v>3191</v>
      </c>
      <c r="K8" s="2" t="s">
        <v>1787</v>
      </c>
      <c r="L8" s="2" t="s">
        <v>41</v>
      </c>
      <c r="M8" s="7" t="s">
        <v>1132</v>
      </c>
      <c r="N8" s="2" t="s">
        <v>3293</v>
      </c>
      <c r="O8" s="3" t="s">
        <v>3294</v>
      </c>
      <c r="P8" s="2" t="s">
        <v>3170</v>
      </c>
      <c r="Q8" s="2" t="s">
        <v>3162</v>
      </c>
      <c r="R8" s="2" t="s">
        <v>3159</v>
      </c>
      <c r="S8" s="2" t="s">
        <v>2338</v>
      </c>
      <c r="T8" s="2" t="s">
        <v>2367</v>
      </c>
      <c r="U8" s="2" t="s">
        <v>118</v>
      </c>
      <c r="V8" s="2" t="s">
        <v>2447</v>
      </c>
      <c r="W8" s="2" t="s">
        <v>49</v>
      </c>
      <c r="Y8" t="str">
        <f>PROPER(Table1[[#This Row],[Industry]])</f>
        <v>Гастрономия / Кухня, Хорека, Болничен Персонал, Фармацевтика</v>
      </c>
      <c r="Z8" t="str">
        <f>PROPER(Table1[[#This Row],[Insole]])</f>
        <v>Текстил, Интегрирана Стелка</v>
      </c>
    </row>
    <row r="9" spans="1:26" ht="12.75" customHeight="1" x14ac:dyDescent="0.2">
      <c r="A9" s="2" t="s">
        <v>1533</v>
      </c>
      <c r="B9" s="2" t="s">
        <v>1534</v>
      </c>
      <c r="C9" s="2" t="s">
        <v>1535</v>
      </c>
      <c r="D9" s="2" t="s">
        <v>2238</v>
      </c>
      <c r="E9" s="2" t="s">
        <v>2963</v>
      </c>
      <c r="F9" s="6" t="s">
        <v>3040</v>
      </c>
      <c r="G9" s="2" t="s">
        <v>1131</v>
      </c>
      <c r="H9" s="2" t="s">
        <v>536</v>
      </c>
      <c r="I9" s="2" t="s">
        <v>3106</v>
      </c>
      <c r="J9" s="2" t="s">
        <v>3191</v>
      </c>
      <c r="K9" s="2" t="s">
        <v>2211</v>
      </c>
      <c r="L9" s="2" t="s">
        <v>41</v>
      </c>
      <c r="M9" s="7" t="s">
        <v>1132</v>
      </c>
      <c r="N9" s="2" t="s">
        <v>3293</v>
      </c>
      <c r="O9" s="3" t="s">
        <v>3295</v>
      </c>
      <c r="P9" s="2" t="s">
        <v>3170</v>
      </c>
      <c r="Q9" s="2" t="s">
        <v>3162</v>
      </c>
      <c r="R9" s="2" t="s">
        <v>3159</v>
      </c>
      <c r="S9" s="2" t="s">
        <v>2338</v>
      </c>
      <c r="T9" s="2" t="s">
        <v>2367</v>
      </c>
      <c r="U9" s="2" t="s">
        <v>118</v>
      </c>
      <c r="V9" s="2" t="s">
        <v>2446</v>
      </c>
      <c r="W9" s="2" t="s">
        <v>901</v>
      </c>
      <c r="Y9" t="str">
        <f>PROPER(Table1[[#This Row],[Industry]])</f>
        <v>Гастрономия / Кухня, Хорека, Болничен Персонал, Фармацевтика</v>
      </c>
      <c r="Z9" t="str">
        <f>PROPER(Table1[[#This Row],[Insole]])</f>
        <v>Текстил, Интегрирана Стелка</v>
      </c>
    </row>
    <row r="10" spans="1:26" ht="12.75" customHeight="1" x14ac:dyDescent="0.2">
      <c r="A10" s="2" t="s">
        <v>1536</v>
      </c>
      <c r="B10" s="2" t="s">
        <v>1537</v>
      </c>
      <c r="C10" s="2" t="s">
        <v>1538</v>
      </c>
      <c r="D10" s="2" t="s">
        <v>2239</v>
      </c>
      <c r="E10" s="2" t="s">
        <v>2964</v>
      </c>
      <c r="F10" s="6" t="s">
        <v>3040</v>
      </c>
      <c r="G10" s="2" t="s">
        <v>1131</v>
      </c>
      <c r="H10" s="2" t="s">
        <v>536</v>
      </c>
      <c r="I10" s="2" t="s">
        <v>3106</v>
      </c>
      <c r="J10" s="2" t="s">
        <v>3191</v>
      </c>
      <c r="K10" s="2" t="s">
        <v>2211</v>
      </c>
      <c r="L10" s="2" t="s">
        <v>41</v>
      </c>
      <c r="M10" s="7" t="s">
        <v>1132</v>
      </c>
      <c r="N10" s="2" t="s">
        <v>3293</v>
      </c>
      <c r="O10" s="3" t="s">
        <v>3295</v>
      </c>
      <c r="P10" s="2" t="s">
        <v>3170</v>
      </c>
      <c r="Q10" s="2" t="s">
        <v>3162</v>
      </c>
      <c r="R10" s="2" t="s">
        <v>3159</v>
      </c>
      <c r="S10" s="2" t="s">
        <v>2338</v>
      </c>
      <c r="T10" s="2" t="s">
        <v>2367</v>
      </c>
      <c r="U10" s="2" t="s">
        <v>118</v>
      </c>
      <c r="V10" s="2" t="s">
        <v>2435</v>
      </c>
      <c r="W10" s="2" t="s">
        <v>901</v>
      </c>
      <c r="Y10" t="str">
        <f>PROPER(Table1[[#This Row],[Industry]])</f>
        <v>Гастрономия / Кухня, Хорека, Болничен Персонал, Фармацевтика</v>
      </c>
      <c r="Z10" t="str">
        <f>PROPER(Table1[[#This Row],[Insole]])</f>
        <v>Текстил, Интегрирана Стелка</v>
      </c>
    </row>
    <row r="11" spans="1:26" ht="12.75" customHeight="1" x14ac:dyDescent="0.2">
      <c r="A11" s="2" t="s">
        <v>1169</v>
      </c>
      <c r="B11" s="2" t="s">
        <v>1170</v>
      </c>
      <c r="C11" s="2" t="s">
        <v>1171</v>
      </c>
      <c r="D11" s="2" t="s">
        <v>2149</v>
      </c>
      <c r="E11" s="2" t="s">
        <v>2846</v>
      </c>
      <c r="F11" s="6" t="s">
        <v>3040</v>
      </c>
      <c r="G11" s="2" t="s">
        <v>1131</v>
      </c>
      <c r="H11" s="2" t="s">
        <v>536</v>
      </c>
      <c r="I11" s="2" t="s">
        <v>3106</v>
      </c>
      <c r="J11" s="2" t="s">
        <v>3191</v>
      </c>
      <c r="K11" s="2" t="s">
        <v>1984</v>
      </c>
      <c r="L11" s="2" t="s">
        <v>41</v>
      </c>
      <c r="M11" s="7" t="s">
        <v>1132</v>
      </c>
      <c r="N11" s="2" t="s">
        <v>3296</v>
      </c>
      <c r="O11" s="3" t="s">
        <v>3297</v>
      </c>
      <c r="P11" s="2" t="s">
        <v>3173</v>
      </c>
      <c r="Q11" s="2" t="s">
        <v>3162</v>
      </c>
      <c r="R11" s="2" t="s">
        <v>3159</v>
      </c>
      <c r="S11" s="2" t="s">
        <v>2338</v>
      </c>
      <c r="T11" s="2" t="s">
        <v>2361</v>
      </c>
      <c r="U11" s="2" t="s">
        <v>118</v>
      </c>
      <c r="V11" s="2" t="s">
        <v>2462</v>
      </c>
      <c r="W11" s="2" t="s">
        <v>49</v>
      </c>
      <c r="Y11" t="str">
        <f>PROPER(Table1[[#This Row],[Industry]])</f>
        <v>Гастрономия / Кухня, Хорека, Болничен Персонал, Фармацевтика</v>
      </c>
      <c r="Z11" t="str">
        <f>PROPER(Table1[[#This Row],[Insole]])</f>
        <v>Текстил, Интегрирана Стелка</v>
      </c>
    </row>
    <row r="12" spans="1:26" ht="12.75" customHeight="1" x14ac:dyDescent="0.2">
      <c r="A12" s="2" t="s">
        <v>1172</v>
      </c>
      <c r="B12" s="2" t="s">
        <v>1173</v>
      </c>
      <c r="C12" s="2" t="s">
        <v>1174</v>
      </c>
      <c r="D12" s="2" t="s">
        <v>2150</v>
      </c>
      <c r="E12" s="2" t="s">
        <v>2847</v>
      </c>
      <c r="F12" s="6" t="s">
        <v>3040</v>
      </c>
      <c r="G12" s="2" t="s">
        <v>1131</v>
      </c>
      <c r="H12" s="2" t="s">
        <v>536</v>
      </c>
      <c r="I12" s="2" t="s">
        <v>3106</v>
      </c>
      <c r="J12" s="2" t="s">
        <v>3191</v>
      </c>
      <c r="K12" s="2" t="s">
        <v>1984</v>
      </c>
      <c r="L12" s="2" t="s">
        <v>41</v>
      </c>
      <c r="M12" s="7" t="s">
        <v>1132</v>
      </c>
      <c r="N12" s="2" t="s">
        <v>3296</v>
      </c>
      <c r="O12" s="3" t="s">
        <v>3297</v>
      </c>
      <c r="P12" s="2" t="s">
        <v>3173</v>
      </c>
      <c r="Q12" s="2" t="s">
        <v>3162</v>
      </c>
      <c r="R12" s="2" t="s">
        <v>3159</v>
      </c>
      <c r="S12" s="2" t="s">
        <v>2338</v>
      </c>
      <c r="T12" s="2" t="s">
        <v>2361</v>
      </c>
      <c r="U12" s="2" t="s">
        <v>118</v>
      </c>
      <c r="V12" s="2" t="s">
        <v>2463</v>
      </c>
      <c r="W12" s="2" t="s">
        <v>49</v>
      </c>
      <c r="Y12" t="str">
        <f>PROPER(Table1[[#This Row],[Industry]])</f>
        <v>Гастрономия / Кухня, Хорека, Болничен Персонал, Фармацевтика</v>
      </c>
      <c r="Z12" t="str">
        <f>PROPER(Table1[[#This Row],[Insole]])</f>
        <v>Текстил, Интегрирана Стелка</v>
      </c>
    </row>
    <row r="13" spans="1:26" ht="12.75" customHeight="1" x14ac:dyDescent="0.2">
      <c r="A13" s="2" t="s">
        <v>1669</v>
      </c>
      <c r="B13" s="2" t="s">
        <v>1670</v>
      </c>
      <c r="C13" s="2" t="s">
        <v>1671</v>
      </c>
      <c r="D13" s="2" t="s">
        <v>2172</v>
      </c>
      <c r="E13" s="2" t="s">
        <v>3005</v>
      </c>
      <c r="F13" s="6" t="s">
        <v>3040</v>
      </c>
      <c r="G13" s="2" t="s">
        <v>1131</v>
      </c>
      <c r="H13" s="2" t="s">
        <v>536</v>
      </c>
      <c r="I13" s="2" t="s">
        <v>3106</v>
      </c>
      <c r="J13" s="2" t="s">
        <v>3191</v>
      </c>
      <c r="K13" s="2" t="s">
        <v>1984</v>
      </c>
      <c r="L13" s="2" t="s">
        <v>41</v>
      </c>
      <c r="M13" s="7" t="s">
        <v>1132</v>
      </c>
      <c r="N13" s="2" t="s">
        <v>3296</v>
      </c>
      <c r="O13" s="3" t="s">
        <v>3297</v>
      </c>
      <c r="P13" s="2" t="s">
        <v>3173</v>
      </c>
      <c r="Q13" s="2" t="s">
        <v>3162</v>
      </c>
      <c r="R13" s="2" t="s">
        <v>3159</v>
      </c>
      <c r="S13" s="2" t="s">
        <v>2338</v>
      </c>
      <c r="T13" s="2" t="s">
        <v>2367</v>
      </c>
      <c r="U13" s="2" t="s">
        <v>118</v>
      </c>
      <c r="V13" s="2" t="s">
        <v>2457</v>
      </c>
      <c r="W13" s="2" t="s">
        <v>49</v>
      </c>
      <c r="Y13" t="str">
        <f>PROPER(Table1[[#This Row],[Industry]])</f>
        <v>Гастрономия / Кухня, Хорека, Болничен Персонал, Фармацевтика</v>
      </c>
      <c r="Z13" t="str">
        <f>PROPER(Table1[[#This Row],[Insole]])</f>
        <v>Текстил, Интегрирана Стелка</v>
      </c>
    </row>
    <row r="14" spans="1:26" ht="12.75" customHeight="1" x14ac:dyDescent="0.2">
      <c r="A14" s="2" t="s">
        <v>1672</v>
      </c>
      <c r="B14" s="2" t="s">
        <v>1673</v>
      </c>
      <c r="C14" s="2" t="s">
        <v>1674</v>
      </c>
      <c r="D14" s="2" t="s">
        <v>2173</v>
      </c>
      <c r="E14" s="2" t="s">
        <v>3006</v>
      </c>
      <c r="F14" s="6" t="s">
        <v>3040</v>
      </c>
      <c r="G14" s="2" t="s">
        <v>1131</v>
      </c>
      <c r="H14" s="2" t="s">
        <v>536</v>
      </c>
      <c r="I14" s="2" t="s">
        <v>3106</v>
      </c>
      <c r="J14" s="2" t="s">
        <v>3191</v>
      </c>
      <c r="K14" s="2" t="s">
        <v>1984</v>
      </c>
      <c r="L14" s="2" t="s">
        <v>41</v>
      </c>
      <c r="M14" s="7" t="s">
        <v>1132</v>
      </c>
      <c r="N14" s="2" t="s">
        <v>3296</v>
      </c>
      <c r="O14" s="3" t="s">
        <v>3297</v>
      </c>
      <c r="P14" s="2" t="s">
        <v>3173</v>
      </c>
      <c r="Q14" s="2" t="s">
        <v>3162</v>
      </c>
      <c r="R14" s="2" t="s">
        <v>3159</v>
      </c>
      <c r="S14" s="2" t="s">
        <v>2338</v>
      </c>
      <c r="T14" s="2" t="s">
        <v>2367</v>
      </c>
      <c r="U14" s="2" t="s">
        <v>118</v>
      </c>
      <c r="V14" s="2" t="s">
        <v>2454</v>
      </c>
      <c r="W14" s="2" t="s">
        <v>49</v>
      </c>
      <c r="Y14" t="str">
        <f>PROPER(Table1[[#This Row],[Industry]])</f>
        <v>Гастрономия / Кухня, Хорека, Болничен Персонал, Фармацевтика</v>
      </c>
      <c r="Z14" t="str">
        <f>PROPER(Table1[[#This Row],[Insole]])</f>
        <v>Текстил, Интегрирана Стелка</v>
      </c>
    </row>
    <row r="15" spans="1:26" ht="12.75" customHeight="1" x14ac:dyDescent="0.2">
      <c r="A15" s="2" t="s">
        <v>1209</v>
      </c>
      <c r="B15" s="2" t="s">
        <v>1210</v>
      </c>
      <c r="C15" s="2" t="s">
        <v>1211</v>
      </c>
      <c r="D15" s="2" t="s">
        <v>2259</v>
      </c>
      <c r="E15" s="2" t="s">
        <v>2859</v>
      </c>
      <c r="F15" s="6" t="s">
        <v>3040</v>
      </c>
      <c r="G15" s="2" t="s">
        <v>1131</v>
      </c>
      <c r="H15" s="2" t="s">
        <v>536</v>
      </c>
      <c r="I15" s="2" t="s">
        <v>3106</v>
      </c>
      <c r="J15" s="2" t="s">
        <v>3191</v>
      </c>
      <c r="K15" s="2" t="s">
        <v>2311</v>
      </c>
      <c r="L15" s="2" t="s">
        <v>41</v>
      </c>
      <c r="M15" s="7" t="s">
        <v>1132</v>
      </c>
      <c r="N15" s="2" t="s">
        <v>3296</v>
      </c>
      <c r="O15" s="3" t="s">
        <v>3300</v>
      </c>
      <c r="P15" s="2" t="s">
        <v>3173</v>
      </c>
      <c r="Q15" s="2" t="s">
        <v>3162</v>
      </c>
      <c r="R15" s="2" t="s">
        <v>3159</v>
      </c>
      <c r="S15" s="2" t="s">
        <v>2338</v>
      </c>
      <c r="T15" s="2" t="s">
        <v>2361</v>
      </c>
      <c r="U15" s="2" t="s">
        <v>818</v>
      </c>
      <c r="V15" s="2" t="s">
        <v>2462</v>
      </c>
      <c r="W15" s="2" t="s">
        <v>901</v>
      </c>
      <c r="Y15" t="str">
        <f>PROPER(Table1[[#This Row],[Industry]])</f>
        <v>Гастрономия / Кухня, Хорека, Болничен Персонал, Фармацевтика</v>
      </c>
      <c r="Z15" t="str">
        <f>PROPER(Table1[[#This Row],[Insole]])</f>
        <v>Текстил, Интегрирана Стелка</v>
      </c>
    </row>
    <row r="16" spans="1:26" ht="12.75" customHeight="1" x14ac:dyDescent="0.2">
      <c r="A16" s="2" t="s">
        <v>1212</v>
      </c>
      <c r="B16" s="2" t="s">
        <v>1213</v>
      </c>
      <c r="C16" s="2" t="s">
        <v>1214</v>
      </c>
      <c r="D16" s="2" t="s">
        <v>2260</v>
      </c>
      <c r="E16" s="2" t="s">
        <v>2860</v>
      </c>
      <c r="F16" s="6" t="s">
        <v>3040</v>
      </c>
      <c r="G16" s="2" t="s">
        <v>1131</v>
      </c>
      <c r="H16" s="2" t="s">
        <v>536</v>
      </c>
      <c r="I16" s="2" t="s">
        <v>3106</v>
      </c>
      <c r="J16" s="2" t="s">
        <v>3191</v>
      </c>
      <c r="K16" s="2" t="s">
        <v>2311</v>
      </c>
      <c r="L16" s="2" t="s">
        <v>41</v>
      </c>
      <c r="M16" s="7" t="s">
        <v>1132</v>
      </c>
      <c r="N16" s="2" t="s">
        <v>3296</v>
      </c>
      <c r="O16" s="3" t="s">
        <v>3300</v>
      </c>
      <c r="P16" s="2" t="s">
        <v>3173</v>
      </c>
      <c r="Q16" s="2" t="s">
        <v>3162</v>
      </c>
      <c r="R16" s="2" t="s">
        <v>3159</v>
      </c>
      <c r="S16" s="2" t="s">
        <v>2338</v>
      </c>
      <c r="T16" s="2" t="s">
        <v>2361</v>
      </c>
      <c r="U16" s="2" t="s">
        <v>118</v>
      </c>
      <c r="V16" s="2" t="s">
        <v>2463</v>
      </c>
      <c r="W16" s="2" t="s">
        <v>901</v>
      </c>
      <c r="Y16" t="str">
        <f>PROPER(Table1[[#This Row],[Industry]])</f>
        <v>Гастрономия / Кухня, Хорека, Болничен Персонал, Фармацевтика</v>
      </c>
      <c r="Z16" t="str">
        <f>PROPER(Table1[[#This Row],[Insole]])</f>
        <v>Текстил, Интегрирана Стелка</v>
      </c>
    </row>
    <row r="17" spans="1:26" ht="12.75" customHeight="1" x14ac:dyDescent="0.2">
      <c r="A17" s="2" t="s">
        <v>1484</v>
      </c>
      <c r="B17" s="2" t="s">
        <v>1485</v>
      </c>
      <c r="C17" s="2" t="s">
        <v>1486</v>
      </c>
      <c r="D17" s="2" t="s">
        <v>2221</v>
      </c>
      <c r="E17" s="2" t="s">
        <v>2947</v>
      </c>
      <c r="F17" s="6" t="s">
        <v>3040</v>
      </c>
      <c r="G17" s="2" t="s">
        <v>1131</v>
      </c>
      <c r="H17" s="2" t="s">
        <v>536</v>
      </c>
      <c r="I17" s="2" t="s">
        <v>3106</v>
      </c>
      <c r="J17" s="2" t="s">
        <v>3191</v>
      </c>
      <c r="K17" s="2" t="s">
        <v>2213</v>
      </c>
      <c r="L17" s="2" t="s">
        <v>41</v>
      </c>
      <c r="M17" s="7" t="s">
        <v>1132</v>
      </c>
      <c r="N17" s="2" t="s">
        <v>3296</v>
      </c>
      <c r="O17" s="3" t="s">
        <v>3299</v>
      </c>
      <c r="P17" s="2" t="s">
        <v>3173</v>
      </c>
      <c r="Q17" s="2" t="s">
        <v>3162</v>
      </c>
      <c r="R17" s="2" t="s">
        <v>3159</v>
      </c>
      <c r="S17" s="2" t="s">
        <v>2338</v>
      </c>
      <c r="T17" s="2" t="s">
        <v>2361</v>
      </c>
      <c r="U17" s="2" t="s">
        <v>118</v>
      </c>
      <c r="V17" s="2" t="s">
        <v>2459</v>
      </c>
      <c r="W17" s="2" t="s">
        <v>49</v>
      </c>
      <c r="Y17" t="str">
        <f>PROPER(Table1[[#This Row],[Industry]])</f>
        <v>Гастрономия / Кухня, Хорека, Болничен Персонал, Фармацевтика</v>
      </c>
      <c r="Z17" t="str">
        <f>PROPER(Table1[[#This Row],[Insole]])</f>
        <v>Текстил, Интегрирана Стелка</v>
      </c>
    </row>
    <row r="18" spans="1:26" ht="12.75" customHeight="1" x14ac:dyDescent="0.2">
      <c r="A18" s="2" t="s">
        <v>1128</v>
      </c>
      <c r="B18" s="2" t="s">
        <v>1129</v>
      </c>
      <c r="C18" s="2" t="s">
        <v>1130</v>
      </c>
      <c r="D18" s="2" t="s">
        <v>2186</v>
      </c>
      <c r="E18" s="2" t="s">
        <v>2834</v>
      </c>
      <c r="F18" s="6" t="s">
        <v>3040</v>
      </c>
      <c r="G18" s="2" t="s">
        <v>1131</v>
      </c>
      <c r="H18" s="2" t="s">
        <v>536</v>
      </c>
      <c r="I18" s="2" t="s">
        <v>3106</v>
      </c>
      <c r="J18" s="2" t="s">
        <v>3191</v>
      </c>
      <c r="K18" s="2" t="s">
        <v>1787</v>
      </c>
      <c r="L18" s="2" t="s">
        <v>41</v>
      </c>
      <c r="M18" s="7" t="s">
        <v>1132</v>
      </c>
      <c r="N18" s="2" t="s">
        <v>3296</v>
      </c>
      <c r="O18" s="3" t="s">
        <v>3299</v>
      </c>
      <c r="P18" s="2" t="s">
        <v>3173</v>
      </c>
      <c r="Q18" s="2" t="s">
        <v>3162</v>
      </c>
      <c r="R18" s="2" t="s">
        <v>3159</v>
      </c>
      <c r="S18" s="2" t="s">
        <v>2338</v>
      </c>
      <c r="T18" s="2" t="s">
        <v>2361</v>
      </c>
      <c r="U18" s="2" t="s">
        <v>118</v>
      </c>
      <c r="V18" s="2" t="s">
        <v>2459</v>
      </c>
      <c r="W18" s="2" t="s">
        <v>49</v>
      </c>
      <c r="Y18" t="str">
        <f>PROPER(Table1[[#This Row],[Industry]])</f>
        <v>Гастрономия / Кухня, Хорека, Болничен Персонал, Фармацевтика</v>
      </c>
      <c r="Z18" t="str">
        <f>PROPER(Table1[[#This Row],[Insole]])</f>
        <v>Текстил, Интегрирана Стелка</v>
      </c>
    </row>
    <row r="19" spans="1:26" ht="12.75" customHeight="1" x14ac:dyDescent="0.2">
      <c r="A19" s="2" t="s">
        <v>1133</v>
      </c>
      <c r="B19" s="2" t="s">
        <v>1134</v>
      </c>
      <c r="C19" s="2" t="s">
        <v>1135</v>
      </c>
      <c r="D19" s="2" t="s">
        <v>2187</v>
      </c>
      <c r="E19" s="2" t="s">
        <v>2835</v>
      </c>
      <c r="F19" s="6" t="s">
        <v>3040</v>
      </c>
      <c r="G19" s="2" t="s">
        <v>1131</v>
      </c>
      <c r="H19" s="2" t="s">
        <v>536</v>
      </c>
      <c r="I19" s="2" t="s">
        <v>3106</v>
      </c>
      <c r="J19" s="2" t="s">
        <v>3191</v>
      </c>
      <c r="K19" s="2" t="s">
        <v>1787</v>
      </c>
      <c r="L19" s="2" t="s">
        <v>41</v>
      </c>
      <c r="M19" s="7" t="s">
        <v>1132</v>
      </c>
      <c r="N19" s="2" t="s">
        <v>3296</v>
      </c>
      <c r="O19" s="3" t="s">
        <v>3299</v>
      </c>
      <c r="P19" s="2" t="s">
        <v>3173</v>
      </c>
      <c r="Q19" s="2" t="s">
        <v>3162</v>
      </c>
      <c r="R19" s="2" t="s">
        <v>3159</v>
      </c>
      <c r="S19" s="2" t="s">
        <v>2338</v>
      </c>
      <c r="T19" s="2" t="s">
        <v>2361</v>
      </c>
      <c r="U19" s="2" t="s">
        <v>118</v>
      </c>
      <c r="V19" s="2" t="s">
        <v>2460</v>
      </c>
      <c r="W19" s="2" t="s">
        <v>49</v>
      </c>
      <c r="Y19" t="str">
        <f>PROPER(Table1[[#This Row],[Industry]])</f>
        <v>Гастрономия / Кухня, Хорека, Болничен Персонал, Фармацевтика</v>
      </c>
      <c r="Z19" t="str">
        <f>PROPER(Table1[[#This Row],[Insole]])</f>
        <v>Текстил, Интегрирана Стелка</v>
      </c>
    </row>
    <row r="20" spans="1:26" ht="12.75" customHeight="1" x14ac:dyDescent="0.2">
      <c r="A20" s="2" t="s">
        <v>1675</v>
      </c>
      <c r="B20" s="2" t="s">
        <v>1676</v>
      </c>
      <c r="C20" s="2" t="s">
        <v>1677</v>
      </c>
      <c r="D20" s="2" t="s">
        <v>2201</v>
      </c>
      <c r="E20" s="2" t="s">
        <v>3007</v>
      </c>
      <c r="F20" s="6" t="s">
        <v>3040</v>
      </c>
      <c r="G20" s="2" t="s">
        <v>1131</v>
      </c>
      <c r="H20" s="2" t="s">
        <v>536</v>
      </c>
      <c r="I20" s="2" t="s">
        <v>3106</v>
      </c>
      <c r="J20" s="2" t="s">
        <v>3191</v>
      </c>
      <c r="K20" s="2" t="s">
        <v>1787</v>
      </c>
      <c r="L20" s="2" t="s">
        <v>41</v>
      </c>
      <c r="M20" s="7" t="s">
        <v>1132</v>
      </c>
      <c r="N20" s="2" t="s">
        <v>3296</v>
      </c>
      <c r="O20" s="3" t="s">
        <v>3299</v>
      </c>
      <c r="P20" s="2" t="s">
        <v>3173</v>
      </c>
      <c r="Q20" s="2" t="s">
        <v>3162</v>
      </c>
      <c r="R20" s="2" t="s">
        <v>3159</v>
      </c>
      <c r="S20" s="2" t="s">
        <v>2338</v>
      </c>
      <c r="T20" s="2" t="s">
        <v>2367</v>
      </c>
      <c r="U20" s="2" t="s">
        <v>118</v>
      </c>
      <c r="V20" s="2" t="s">
        <v>2463</v>
      </c>
      <c r="W20" s="2" t="s">
        <v>49</v>
      </c>
      <c r="Y20" t="str">
        <f>PROPER(Table1[[#This Row],[Industry]])</f>
        <v>Гастрономия / Кухня, Хорека, Болничен Персонал, Фармацевтика</v>
      </c>
      <c r="Z20" t="str">
        <f>PROPER(Table1[[#This Row],[Insole]])</f>
        <v>Текстил, Интегрирана Стелка</v>
      </c>
    </row>
    <row r="21" spans="1:26" ht="12.75" customHeight="1" x14ac:dyDescent="0.2">
      <c r="A21" s="2" t="s">
        <v>1678</v>
      </c>
      <c r="B21" s="2" t="s">
        <v>1679</v>
      </c>
      <c r="C21" s="2" t="s">
        <v>1680</v>
      </c>
      <c r="D21" s="2" t="s">
        <v>2202</v>
      </c>
      <c r="E21" s="2" t="s">
        <v>3008</v>
      </c>
      <c r="F21" s="6" t="s">
        <v>3040</v>
      </c>
      <c r="G21" s="2" t="s">
        <v>1131</v>
      </c>
      <c r="H21" s="2" t="s">
        <v>536</v>
      </c>
      <c r="I21" s="2" t="s">
        <v>3106</v>
      </c>
      <c r="J21" s="2" t="s">
        <v>3191</v>
      </c>
      <c r="K21" s="2" t="s">
        <v>1787</v>
      </c>
      <c r="L21" s="2" t="s">
        <v>41</v>
      </c>
      <c r="M21" s="7" t="s">
        <v>1132</v>
      </c>
      <c r="N21" s="2" t="s">
        <v>3296</v>
      </c>
      <c r="O21" s="3" t="s">
        <v>3299</v>
      </c>
      <c r="P21" s="2" t="s">
        <v>3173</v>
      </c>
      <c r="Q21" s="2" t="s">
        <v>3162</v>
      </c>
      <c r="R21" s="2" t="s">
        <v>3159</v>
      </c>
      <c r="S21" s="2" t="s">
        <v>2338</v>
      </c>
      <c r="T21" s="2" t="s">
        <v>2367</v>
      </c>
      <c r="U21" s="2" t="s">
        <v>118</v>
      </c>
      <c r="V21" s="2" t="s">
        <v>2436</v>
      </c>
      <c r="W21" s="2" t="s">
        <v>49</v>
      </c>
      <c r="Y21" t="str">
        <f>PROPER(Table1[[#This Row],[Industry]])</f>
        <v>Гастрономия / Кухня, Хорека, Болничен Персонал, Фармацевтика</v>
      </c>
      <c r="Z21" t="str">
        <f>PROPER(Table1[[#This Row],[Insole]])</f>
        <v>Текстил, Интегрирана Стелка</v>
      </c>
    </row>
    <row r="22" spans="1:26" ht="12.75" customHeight="1" x14ac:dyDescent="0.2">
      <c r="A22" s="2" t="s">
        <v>1202</v>
      </c>
      <c r="B22" s="2" t="s">
        <v>1203</v>
      </c>
      <c r="C22" s="2" t="s">
        <v>1204</v>
      </c>
      <c r="D22" s="2" t="s">
        <v>2248</v>
      </c>
      <c r="E22" s="2" t="s">
        <v>2857</v>
      </c>
      <c r="F22" s="6" t="s">
        <v>3040</v>
      </c>
      <c r="G22" s="2" t="s">
        <v>1131</v>
      </c>
      <c r="H22" s="2" t="s">
        <v>536</v>
      </c>
      <c r="I22" s="2" t="s">
        <v>3106</v>
      </c>
      <c r="J22" s="2" t="s">
        <v>3191</v>
      </c>
      <c r="K22" s="2" t="s">
        <v>2241</v>
      </c>
      <c r="L22" s="2" t="s">
        <v>41</v>
      </c>
      <c r="M22" s="7" t="s">
        <v>1132</v>
      </c>
      <c r="N22" s="2" t="s">
        <v>3296</v>
      </c>
      <c r="O22" s="3" t="s">
        <v>3298</v>
      </c>
      <c r="P22" s="2" t="s">
        <v>3173</v>
      </c>
      <c r="Q22" s="2" t="s">
        <v>3162</v>
      </c>
      <c r="R22" s="2" t="s">
        <v>3159</v>
      </c>
      <c r="S22" s="2" t="s">
        <v>2338</v>
      </c>
      <c r="T22" s="2" t="s">
        <v>2361</v>
      </c>
      <c r="U22" s="2" t="s">
        <v>118</v>
      </c>
      <c r="V22" s="2" t="s">
        <v>2462</v>
      </c>
      <c r="W22" s="2" t="s">
        <v>901</v>
      </c>
      <c r="Y22" t="str">
        <f>PROPER(Table1[[#This Row],[Industry]])</f>
        <v>Гастрономия / Кухня, Хорека, Болничен Персонал, Фармацевтика</v>
      </c>
      <c r="Z22" t="str">
        <f>PROPER(Table1[[#This Row],[Insole]])</f>
        <v>Текстил, Интегрирана Стелка</v>
      </c>
    </row>
    <row r="23" spans="1:26" ht="12.75" customHeight="1" x14ac:dyDescent="0.2">
      <c r="A23" s="2" t="s">
        <v>1539</v>
      </c>
      <c r="B23" s="2" t="s">
        <v>1540</v>
      </c>
      <c r="C23" s="2" t="s">
        <v>1541</v>
      </c>
      <c r="D23" s="2" t="s">
        <v>2075</v>
      </c>
      <c r="E23" s="2" t="s">
        <v>2965</v>
      </c>
      <c r="F23" s="6" t="s">
        <v>3040</v>
      </c>
      <c r="G23" s="2" t="s">
        <v>1131</v>
      </c>
      <c r="H23" s="2" t="s">
        <v>536</v>
      </c>
      <c r="I23" s="2" t="s">
        <v>3106</v>
      </c>
      <c r="J23" s="2" t="s">
        <v>3192</v>
      </c>
      <c r="K23" s="2" t="s">
        <v>1984</v>
      </c>
      <c r="L23" s="2" t="s">
        <v>41</v>
      </c>
      <c r="M23" s="7" t="s">
        <v>1132</v>
      </c>
      <c r="N23" s="2" t="s">
        <v>3293</v>
      </c>
      <c r="O23" s="3" t="s">
        <v>3294</v>
      </c>
      <c r="P23" s="2" t="s">
        <v>3170</v>
      </c>
      <c r="Q23" s="2" t="s">
        <v>3162</v>
      </c>
      <c r="R23" s="2" t="s">
        <v>3159</v>
      </c>
      <c r="S23" s="2" t="s">
        <v>2338</v>
      </c>
      <c r="T23" s="2" t="s">
        <v>2361</v>
      </c>
      <c r="U23" s="2" t="s">
        <v>118</v>
      </c>
      <c r="V23" s="2" t="s">
        <v>2372</v>
      </c>
      <c r="W23" s="2" t="s">
        <v>49</v>
      </c>
      <c r="Y23" t="str">
        <f>PROPER(Table1[[#This Row],[Industry]])</f>
        <v>Гастрономия / Кухня, Хорека, Болничен Персонал, Фармацевтика</v>
      </c>
      <c r="Z23" t="str">
        <f>PROPER(Table1[[#This Row],[Insole]])</f>
        <v>Текстил, Интегрирана Стелка</v>
      </c>
    </row>
    <row r="24" spans="1:26" ht="12.75" customHeight="1" x14ac:dyDescent="0.2">
      <c r="A24" s="2" t="s">
        <v>1542</v>
      </c>
      <c r="B24" s="2" t="s">
        <v>1543</v>
      </c>
      <c r="C24" s="2" t="s">
        <v>1544</v>
      </c>
      <c r="D24" s="2" t="s">
        <v>1952</v>
      </c>
      <c r="E24" s="2" t="s">
        <v>2966</v>
      </c>
      <c r="F24" s="6" t="s">
        <v>3040</v>
      </c>
      <c r="G24" s="2" t="s">
        <v>1131</v>
      </c>
      <c r="H24" s="2" t="s">
        <v>536</v>
      </c>
      <c r="I24" s="2" t="s">
        <v>3106</v>
      </c>
      <c r="J24" s="2" t="s">
        <v>3192</v>
      </c>
      <c r="K24" s="2" t="s">
        <v>1787</v>
      </c>
      <c r="L24" s="2" t="s">
        <v>41</v>
      </c>
      <c r="M24" s="7" t="s">
        <v>1132</v>
      </c>
      <c r="N24" s="2" t="s">
        <v>3293</v>
      </c>
      <c r="O24" s="3" t="s">
        <v>3294</v>
      </c>
      <c r="P24" s="2" t="s">
        <v>3170</v>
      </c>
      <c r="Q24" s="2" t="s">
        <v>3162</v>
      </c>
      <c r="R24" s="2" t="s">
        <v>3159</v>
      </c>
      <c r="S24" s="2" t="s">
        <v>2338</v>
      </c>
      <c r="T24" s="2" t="s">
        <v>2361</v>
      </c>
      <c r="U24" s="2" t="s">
        <v>118</v>
      </c>
      <c r="V24" s="2" t="s">
        <v>2372</v>
      </c>
      <c r="W24" s="2" t="s">
        <v>49</v>
      </c>
      <c r="Y24" t="str">
        <f>PROPER(Table1[[#This Row],[Industry]])</f>
        <v>Гастрономия / Кухня, Хорека, Болничен Персонал, Фармацевтика</v>
      </c>
      <c r="Z24" t="str">
        <f>PROPER(Table1[[#This Row],[Insole]])</f>
        <v>Текстил, Интегрирана Стелка</v>
      </c>
    </row>
    <row r="25" spans="1:26" ht="12.75" customHeight="1" x14ac:dyDescent="0.2">
      <c r="A25" s="2" t="s">
        <v>1325</v>
      </c>
      <c r="B25" s="2" t="s">
        <v>1326</v>
      </c>
      <c r="C25" s="2" t="s">
        <v>1327</v>
      </c>
      <c r="D25" s="2" t="s">
        <v>2062</v>
      </c>
      <c r="E25" s="2" t="s">
        <v>2896</v>
      </c>
      <c r="F25" s="2"/>
      <c r="G25" s="2" t="s">
        <v>706</v>
      </c>
      <c r="H25" s="2" t="s">
        <v>536</v>
      </c>
      <c r="I25" s="2" t="s">
        <v>3122</v>
      </c>
      <c r="J25" s="2" t="s">
        <v>3190</v>
      </c>
      <c r="K25" s="2" t="s">
        <v>1984</v>
      </c>
      <c r="L25" s="2" t="s">
        <v>41</v>
      </c>
      <c r="M25" s="7" t="s">
        <v>707</v>
      </c>
      <c r="N25" s="2"/>
      <c r="O25" s="2"/>
      <c r="P25" s="2" t="s">
        <v>3170</v>
      </c>
      <c r="Q25" s="2" t="s">
        <v>3173</v>
      </c>
      <c r="R25" s="2" t="s">
        <v>3155</v>
      </c>
      <c r="S25" s="2" t="s">
        <v>2346</v>
      </c>
      <c r="T25" s="2" t="s">
        <v>2368</v>
      </c>
      <c r="U25" s="2" t="s">
        <v>537</v>
      </c>
      <c r="V25" s="2" t="s">
        <v>2457</v>
      </c>
      <c r="W25" s="2"/>
      <c r="Y25" t="str">
        <f>PROPER(Table1[[#This Row],[Industry]])</f>
        <v>Гастрономия / Кухня, Хорека, Фармацевтика</v>
      </c>
      <c r="Z25" t="str">
        <f>PROPER(Table1[[#This Row],[Insole]])</f>
        <v>Текстил,Сменяема Стелка</v>
      </c>
    </row>
    <row r="26" spans="1:26" ht="12.75" customHeight="1" x14ac:dyDescent="0.2">
      <c r="A26" s="2" t="s">
        <v>708</v>
      </c>
      <c r="B26" s="2" t="s">
        <v>709</v>
      </c>
      <c r="C26" s="2" t="s">
        <v>710</v>
      </c>
      <c r="D26" s="2" t="s">
        <v>2009</v>
      </c>
      <c r="E26" s="2" t="s">
        <v>2700</v>
      </c>
      <c r="F26" s="2"/>
      <c r="G26" s="2" t="s">
        <v>706</v>
      </c>
      <c r="H26" s="2" t="s">
        <v>536</v>
      </c>
      <c r="I26" s="2" t="s">
        <v>3116</v>
      </c>
      <c r="J26" s="2" t="s">
        <v>3190</v>
      </c>
      <c r="K26" s="2" t="s">
        <v>1984</v>
      </c>
      <c r="L26" s="2" t="s">
        <v>41</v>
      </c>
      <c r="M26" s="7" t="s">
        <v>711</v>
      </c>
      <c r="N26" s="2"/>
      <c r="O26" s="2"/>
      <c r="P26" s="2" t="s">
        <v>3170</v>
      </c>
      <c r="Q26" s="2" t="s">
        <v>3175</v>
      </c>
      <c r="R26" s="2" t="s">
        <v>3162</v>
      </c>
      <c r="S26" s="2" t="s">
        <v>2346</v>
      </c>
      <c r="T26" s="2" t="s">
        <v>2355</v>
      </c>
      <c r="U26" s="2" t="s">
        <v>537</v>
      </c>
      <c r="V26" s="2" t="s">
        <v>2435</v>
      </c>
      <c r="W26" s="2"/>
      <c r="Y26" t="str">
        <f>PROPER(Table1[[#This Row],[Industry]])</f>
        <v>Хорека</v>
      </c>
      <c r="Z26" t="str">
        <f>PROPER(Table1[[#This Row],[Insole]])</f>
        <v>Текстил</v>
      </c>
    </row>
    <row r="27" spans="1:26" ht="12.75" customHeight="1" x14ac:dyDescent="0.2">
      <c r="A27" s="2" t="s">
        <v>724</v>
      </c>
      <c r="B27" s="2" t="s">
        <v>725</v>
      </c>
      <c r="C27" s="2" t="s">
        <v>726</v>
      </c>
      <c r="D27" s="2" t="s">
        <v>2012</v>
      </c>
      <c r="E27" s="2" t="s">
        <v>2705</v>
      </c>
      <c r="F27" s="2"/>
      <c r="G27" s="2" t="s">
        <v>706</v>
      </c>
      <c r="H27" s="2" t="s">
        <v>536</v>
      </c>
      <c r="I27" s="2" t="s">
        <v>3116</v>
      </c>
      <c r="J27" s="2" t="s">
        <v>3190</v>
      </c>
      <c r="K27" s="2" t="s">
        <v>1984</v>
      </c>
      <c r="L27" s="2" t="s">
        <v>41</v>
      </c>
      <c r="M27" s="7" t="s">
        <v>711</v>
      </c>
      <c r="N27" s="2"/>
      <c r="O27" s="2"/>
      <c r="P27" s="2" t="s">
        <v>3170</v>
      </c>
      <c r="Q27" s="2" t="s">
        <v>3175</v>
      </c>
      <c r="R27" s="2" t="s">
        <v>3162</v>
      </c>
      <c r="S27" s="2" t="s">
        <v>2346</v>
      </c>
      <c r="T27" s="2" t="s">
        <v>2368</v>
      </c>
      <c r="U27" s="2" t="s">
        <v>727</v>
      </c>
      <c r="V27" s="2" t="s">
        <v>2436</v>
      </c>
      <c r="W27" s="2"/>
      <c r="Y27" t="str">
        <f>PROPER(Table1[[#This Row],[Industry]])</f>
        <v>Хорека</v>
      </c>
      <c r="Z27" t="str">
        <f>PROPER(Table1[[#This Row],[Insole]])</f>
        <v>Текстил</v>
      </c>
    </row>
    <row r="28" spans="1:26" ht="12.75" customHeight="1" x14ac:dyDescent="0.2">
      <c r="A28" s="2" t="s">
        <v>1346</v>
      </c>
      <c r="B28" s="2" t="s">
        <v>1347</v>
      </c>
      <c r="C28" s="2" t="s">
        <v>1348</v>
      </c>
      <c r="D28" s="2" t="s">
        <v>2064</v>
      </c>
      <c r="E28" s="2" t="s">
        <v>2902</v>
      </c>
      <c r="F28" s="2"/>
      <c r="G28" s="2" t="s">
        <v>706</v>
      </c>
      <c r="H28" s="2" t="s">
        <v>536</v>
      </c>
      <c r="I28" s="2" t="s">
        <v>3116</v>
      </c>
      <c r="J28" s="2" t="s">
        <v>3190</v>
      </c>
      <c r="K28" s="2" t="s">
        <v>1984</v>
      </c>
      <c r="L28" s="2" t="s">
        <v>41</v>
      </c>
      <c r="M28" s="7" t="s">
        <v>711</v>
      </c>
      <c r="N28" s="2"/>
      <c r="O28" s="2"/>
      <c r="P28" s="2" t="s">
        <v>3170</v>
      </c>
      <c r="Q28" s="2" t="s">
        <v>3175</v>
      </c>
      <c r="R28" s="2" t="s">
        <v>3162</v>
      </c>
      <c r="S28" s="2" t="s">
        <v>2346</v>
      </c>
      <c r="T28" s="2" t="s">
        <v>2368</v>
      </c>
      <c r="U28" s="2" t="s">
        <v>727</v>
      </c>
      <c r="V28" s="2" t="s">
        <v>2432</v>
      </c>
      <c r="W28" s="2"/>
      <c r="Y28" t="str">
        <f>PROPER(Table1[[#This Row],[Industry]])</f>
        <v>Хорека</v>
      </c>
      <c r="Z28" t="str">
        <f>PROPER(Table1[[#This Row],[Insole]])</f>
        <v>Текстил</v>
      </c>
    </row>
    <row r="29" spans="1:26" ht="12.75" customHeight="1" x14ac:dyDescent="0.2">
      <c r="A29" s="2" t="s">
        <v>1328</v>
      </c>
      <c r="B29" s="2" t="s">
        <v>1329</v>
      </c>
      <c r="C29" s="2" t="s">
        <v>1330</v>
      </c>
      <c r="D29" s="2" t="s">
        <v>1936</v>
      </c>
      <c r="E29" s="2" t="s">
        <v>2897</v>
      </c>
      <c r="F29" s="2"/>
      <c r="G29" s="2" t="s">
        <v>706</v>
      </c>
      <c r="H29" s="2" t="s">
        <v>536</v>
      </c>
      <c r="I29" s="2" t="s">
        <v>3116</v>
      </c>
      <c r="J29" s="2" t="s">
        <v>3190</v>
      </c>
      <c r="K29" s="2" t="s">
        <v>1787</v>
      </c>
      <c r="L29" s="2" t="s">
        <v>41</v>
      </c>
      <c r="M29" s="7" t="s">
        <v>707</v>
      </c>
      <c r="N29" s="2"/>
      <c r="O29" s="2"/>
      <c r="P29" s="2" t="s">
        <v>3170</v>
      </c>
      <c r="Q29" s="2" t="s">
        <v>3175</v>
      </c>
      <c r="R29" s="2" t="s">
        <v>3162</v>
      </c>
      <c r="S29" s="2" t="s">
        <v>2346</v>
      </c>
      <c r="T29" s="2" t="s">
        <v>2368</v>
      </c>
      <c r="U29" s="2" t="s">
        <v>727</v>
      </c>
      <c r="V29" s="2" t="s">
        <v>2457</v>
      </c>
      <c r="W29" s="2"/>
      <c r="Y29" t="str">
        <f>PROPER(Table1[[#This Row],[Industry]])</f>
        <v>Хорека</v>
      </c>
      <c r="Z29" t="str">
        <f>PROPER(Table1[[#This Row],[Insole]])</f>
        <v>Текстил</v>
      </c>
    </row>
    <row r="30" spans="1:26" ht="12.75" customHeight="1" x14ac:dyDescent="0.2">
      <c r="A30" s="2" t="s">
        <v>712</v>
      </c>
      <c r="B30" s="2" t="s">
        <v>713</v>
      </c>
      <c r="C30" s="2" t="s">
        <v>714</v>
      </c>
      <c r="D30" s="2" t="s">
        <v>1879</v>
      </c>
      <c r="E30" s="2" t="s">
        <v>2701</v>
      </c>
      <c r="F30" s="2"/>
      <c r="G30" s="2" t="s">
        <v>706</v>
      </c>
      <c r="H30" s="2" t="s">
        <v>536</v>
      </c>
      <c r="I30" s="2" t="s">
        <v>3152</v>
      </c>
      <c r="J30" s="2" t="s">
        <v>3190</v>
      </c>
      <c r="K30" s="2" t="s">
        <v>1787</v>
      </c>
      <c r="L30" s="2" t="s">
        <v>41</v>
      </c>
      <c r="M30" s="7" t="s">
        <v>711</v>
      </c>
      <c r="N30" s="2"/>
      <c r="O30" s="2"/>
      <c r="P30" s="2" t="s">
        <v>3170</v>
      </c>
      <c r="Q30" s="2" t="s">
        <v>3173</v>
      </c>
      <c r="R30" s="2" t="s">
        <v>3155</v>
      </c>
      <c r="S30" s="2" t="s">
        <v>2346</v>
      </c>
      <c r="T30" s="2" t="s">
        <v>2355</v>
      </c>
      <c r="U30" s="2" t="s">
        <v>537</v>
      </c>
      <c r="V30" s="2" t="s">
        <v>2435</v>
      </c>
      <c r="W30" s="2"/>
      <c r="Y30" t="str">
        <f>PROPER(Table1[[#This Row],[Industry]])</f>
        <v>Гастрономия / Кухня, Хорека</v>
      </c>
      <c r="Z30" t="str">
        <f>PROPER(Table1[[#This Row],[Insole]])</f>
        <v>Текстил,Сменяема Стелка</v>
      </c>
    </row>
    <row r="31" spans="1:26" ht="12.75" customHeight="1" x14ac:dyDescent="0.2">
      <c r="A31" s="2" t="s">
        <v>721</v>
      </c>
      <c r="B31" s="2" t="s">
        <v>722</v>
      </c>
      <c r="C31" s="2" t="s">
        <v>723</v>
      </c>
      <c r="D31" s="2" t="s">
        <v>1880</v>
      </c>
      <c r="E31" s="2" t="s">
        <v>2704</v>
      </c>
      <c r="F31" s="2"/>
      <c r="G31" s="2" t="s">
        <v>706</v>
      </c>
      <c r="H31" s="2" t="s">
        <v>536</v>
      </c>
      <c r="I31" s="2" t="s">
        <v>3116</v>
      </c>
      <c r="J31" s="2" t="s">
        <v>3190</v>
      </c>
      <c r="K31" s="2" t="s">
        <v>1787</v>
      </c>
      <c r="L31" s="2" t="s">
        <v>41</v>
      </c>
      <c r="M31" s="7" t="s">
        <v>711</v>
      </c>
      <c r="N31" s="2"/>
      <c r="O31" s="2"/>
      <c r="P31" s="2" t="s">
        <v>3170</v>
      </c>
      <c r="Q31" s="2" t="s">
        <v>3172</v>
      </c>
      <c r="R31" s="2" t="s">
        <v>3162</v>
      </c>
      <c r="S31" s="2" t="s">
        <v>2346</v>
      </c>
      <c r="T31" s="2" t="s">
        <v>2355</v>
      </c>
      <c r="U31" s="2" t="s">
        <v>537</v>
      </c>
      <c r="V31" s="2" t="s">
        <v>2435</v>
      </c>
      <c r="W31" s="2"/>
      <c r="Y31" t="str">
        <f>PROPER(Table1[[#This Row],[Industry]])</f>
        <v>Хорека</v>
      </c>
      <c r="Z31" t="str">
        <f>PROPER(Table1[[#This Row],[Insole]])</f>
        <v>Текстил</v>
      </c>
    </row>
    <row r="32" spans="1:26" ht="12.75" customHeight="1" x14ac:dyDescent="0.2">
      <c r="A32" s="2" t="s">
        <v>728</v>
      </c>
      <c r="B32" s="2" t="s">
        <v>729</v>
      </c>
      <c r="C32" s="2" t="s">
        <v>730</v>
      </c>
      <c r="D32" s="2" t="s">
        <v>1881</v>
      </c>
      <c r="E32" s="2" t="s">
        <v>2706</v>
      </c>
      <c r="F32" s="2"/>
      <c r="G32" s="2" t="s">
        <v>706</v>
      </c>
      <c r="H32" s="2" t="s">
        <v>536</v>
      </c>
      <c r="I32" s="2" t="s">
        <v>3116</v>
      </c>
      <c r="J32" s="2" t="s">
        <v>3190</v>
      </c>
      <c r="K32" s="2" t="s">
        <v>1787</v>
      </c>
      <c r="L32" s="2" t="s">
        <v>41</v>
      </c>
      <c r="M32" s="7" t="s">
        <v>711</v>
      </c>
      <c r="N32" s="2"/>
      <c r="O32" s="2"/>
      <c r="P32" s="2" t="s">
        <v>3170</v>
      </c>
      <c r="Q32" s="2" t="s">
        <v>3175</v>
      </c>
      <c r="R32" s="2" t="s">
        <v>3162</v>
      </c>
      <c r="S32" s="2" t="s">
        <v>2346</v>
      </c>
      <c r="T32" s="2" t="s">
        <v>2368</v>
      </c>
      <c r="U32" s="2" t="s">
        <v>727</v>
      </c>
      <c r="V32" s="2" t="s">
        <v>2436</v>
      </c>
      <c r="W32" s="2"/>
      <c r="Y32" t="str">
        <f>PROPER(Table1[[#This Row],[Industry]])</f>
        <v>Хорека</v>
      </c>
      <c r="Z32" t="str">
        <f>PROPER(Table1[[#This Row],[Insole]])</f>
        <v>Текстил</v>
      </c>
    </row>
    <row r="33" spans="1:26" ht="12.75" customHeight="1" x14ac:dyDescent="0.2">
      <c r="A33" s="2" t="s">
        <v>1343</v>
      </c>
      <c r="B33" s="2" t="s">
        <v>1344</v>
      </c>
      <c r="C33" s="2" t="s">
        <v>1345</v>
      </c>
      <c r="D33" s="2" t="s">
        <v>1939</v>
      </c>
      <c r="E33" s="2" t="s">
        <v>2901</v>
      </c>
      <c r="F33" s="2"/>
      <c r="G33" s="2" t="s">
        <v>706</v>
      </c>
      <c r="H33" s="2" t="s">
        <v>536</v>
      </c>
      <c r="I33" s="2" t="s">
        <v>3116</v>
      </c>
      <c r="J33" s="2" t="s">
        <v>3190</v>
      </c>
      <c r="K33" s="2" t="s">
        <v>1787</v>
      </c>
      <c r="L33" s="2" t="s">
        <v>41</v>
      </c>
      <c r="M33" s="7" t="s">
        <v>711</v>
      </c>
      <c r="N33" s="2"/>
      <c r="O33" s="2"/>
      <c r="P33" s="2" t="s">
        <v>3170</v>
      </c>
      <c r="Q33" s="2" t="s">
        <v>3175</v>
      </c>
      <c r="R33" s="2" t="s">
        <v>3162</v>
      </c>
      <c r="S33" s="2" t="s">
        <v>2346</v>
      </c>
      <c r="T33" s="2" t="s">
        <v>2355</v>
      </c>
      <c r="U33" s="2" t="s">
        <v>537</v>
      </c>
      <c r="V33" s="2" t="s">
        <v>2436</v>
      </c>
      <c r="W33" s="2"/>
      <c r="Y33" t="str">
        <f>PROPER(Table1[[#This Row],[Industry]])</f>
        <v>Хорека</v>
      </c>
      <c r="Z33" t="str">
        <f>PROPER(Table1[[#This Row],[Insole]])</f>
        <v>Текстил</v>
      </c>
    </row>
    <row r="34" spans="1:26" ht="12.75" customHeight="1" x14ac:dyDescent="0.2">
      <c r="A34" s="2" t="s">
        <v>703</v>
      </c>
      <c r="B34" s="2" t="s">
        <v>704</v>
      </c>
      <c r="C34" s="2" t="s">
        <v>705</v>
      </c>
      <c r="D34" s="2" t="s">
        <v>2008</v>
      </c>
      <c r="E34" s="2" t="s">
        <v>2699</v>
      </c>
      <c r="F34" s="2"/>
      <c r="G34" s="2" t="s">
        <v>706</v>
      </c>
      <c r="H34" s="2" t="s">
        <v>536</v>
      </c>
      <c r="I34" s="2" t="s">
        <v>3121</v>
      </c>
      <c r="J34" s="2" t="s">
        <v>3190</v>
      </c>
      <c r="K34" s="2" t="s">
        <v>1984</v>
      </c>
      <c r="L34" s="2" t="s">
        <v>41</v>
      </c>
      <c r="M34" s="7" t="s">
        <v>707</v>
      </c>
      <c r="N34" s="2" t="s">
        <v>3218</v>
      </c>
      <c r="O34" s="2"/>
      <c r="P34" s="2" t="s">
        <v>3173</v>
      </c>
      <c r="Q34" s="2" t="s">
        <v>3176</v>
      </c>
      <c r="R34" s="2" t="s">
        <v>3159</v>
      </c>
      <c r="S34" s="2" t="s">
        <v>2346</v>
      </c>
      <c r="T34" s="2" t="s">
        <v>2368</v>
      </c>
      <c r="U34" s="2" t="s">
        <v>537</v>
      </c>
      <c r="V34" s="2" t="s">
        <v>2434</v>
      </c>
      <c r="W34" s="2"/>
      <c r="Y34" t="str">
        <f>PROPER(Table1[[#This Row],[Industry]])</f>
        <v>Гастрономия / Кухня, Хорека, Болничен Персонал, Медицинска Индустрия, Фармацевтика</v>
      </c>
      <c r="Z34" t="str">
        <f>PROPER(Table1[[#This Row],[Insole]])</f>
        <v>Текстил, Интегрирана Стелка</v>
      </c>
    </row>
    <row r="35" spans="1:26" ht="12.75" customHeight="1" x14ac:dyDescent="0.2">
      <c r="A35" s="2" t="s">
        <v>1331</v>
      </c>
      <c r="B35" s="2" t="s">
        <v>1332</v>
      </c>
      <c r="C35" s="2" t="s">
        <v>1333</v>
      </c>
      <c r="D35" s="2" t="s">
        <v>2063</v>
      </c>
      <c r="E35" s="2" t="s">
        <v>2898</v>
      </c>
      <c r="F35" s="2"/>
      <c r="G35" s="2" t="s">
        <v>706</v>
      </c>
      <c r="H35" s="2" t="s">
        <v>536</v>
      </c>
      <c r="I35" s="2" t="s">
        <v>3116</v>
      </c>
      <c r="J35" s="2" t="s">
        <v>3190</v>
      </c>
      <c r="K35" s="2" t="s">
        <v>1984</v>
      </c>
      <c r="L35" s="2" t="s">
        <v>41</v>
      </c>
      <c r="M35" s="7" t="s">
        <v>707</v>
      </c>
      <c r="N35" s="2" t="s">
        <v>3218</v>
      </c>
      <c r="O35" s="2"/>
      <c r="P35" s="2" t="s">
        <v>3173</v>
      </c>
      <c r="Q35" s="2" t="s">
        <v>3162</v>
      </c>
      <c r="R35" s="2" t="s">
        <v>3159</v>
      </c>
      <c r="S35" s="2" t="s">
        <v>2346</v>
      </c>
      <c r="T35" s="2" t="s">
        <v>2368</v>
      </c>
      <c r="U35" s="2" t="s">
        <v>537</v>
      </c>
      <c r="V35" s="2" t="s">
        <v>2456</v>
      </c>
      <c r="W35" s="2"/>
      <c r="Y35" t="str">
        <f>PROPER(Table1[[#This Row],[Industry]])</f>
        <v>Хорека</v>
      </c>
      <c r="Z35" t="str">
        <f>PROPER(Table1[[#This Row],[Insole]])</f>
        <v>Текстил, Интегрирана Стелка</v>
      </c>
    </row>
    <row r="36" spans="1:26" ht="12.75" customHeight="1" x14ac:dyDescent="0.2">
      <c r="A36" s="2" t="s">
        <v>1310</v>
      </c>
      <c r="B36" s="2" t="s">
        <v>1311</v>
      </c>
      <c r="C36" s="2" t="s">
        <v>1312</v>
      </c>
      <c r="D36" s="2" t="s">
        <v>2127</v>
      </c>
      <c r="E36" s="2"/>
      <c r="F36" s="2"/>
      <c r="G36" s="2" t="s">
        <v>567</v>
      </c>
      <c r="H36" s="2" t="s">
        <v>536</v>
      </c>
      <c r="I36" s="2" t="s">
        <v>3125</v>
      </c>
      <c r="J36" s="2" t="s">
        <v>3190</v>
      </c>
      <c r="K36" s="2" t="s">
        <v>2104</v>
      </c>
      <c r="L36" s="2" t="s">
        <v>95</v>
      </c>
      <c r="M36" s="7" t="s">
        <v>699</v>
      </c>
      <c r="N36" s="2" t="s">
        <v>3196</v>
      </c>
      <c r="O36" s="2"/>
      <c r="P36" s="2" t="s">
        <v>3184</v>
      </c>
      <c r="Q36" s="2" t="s">
        <v>3172</v>
      </c>
      <c r="R36" s="2" t="s">
        <v>3158</v>
      </c>
      <c r="S36" s="2" t="s">
        <v>2321</v>
      </c>
      <c r="T36" s="2" t="s">
        <v>2355</v>
      </c>
      <c r="U36" s="2" t="s">
        <v>49</v>
      </c>
      <c r="V36" s="2" t="s">
        <v>2466</v>
      </c>
      <c r="W36" s="2"/>
      <c r="Y36" t="str">
        <f>PROPER(Table1[[#This Row],[Industry]])</f>
        <v>Електронна Индустрия, Лека Индустрия, Транспорт / Склад И Логистика</v>
      </c>
      <c r="Z36" t="str">
        <f>PROPER(Table1[[#This Row],[Insole]])</f>
        <v>Текстил, Антибактериална Стелка, Ортопедична Стелка,Сменяема Стелка</v>
      </c>
    </row>
    <row r="37" spans="1:26" ht="12.75" customHeight="1" x14ac:dyDescent="0.2">
      <c r="A37" s="2" t="s">
        <v>1292</v>
      </c>
      <c r="B37" s="2" t="s">
        <v>1293</v>
      </c>
      <c r="C37" s="2" t="s">
        <v>1294</v>
      </c>
      <c r="D37" s="2" t="s">
        <v>2235</v>
      </c>
      <c r="E37" s="2" t="s">
        <v>2886</v>
      </c>
      <c r="F37" s="2"/>
      <c r="G37" s="2" t="s">
        <v>567</v>
      </c>
      <c r="H37" s="2" t="s">
        <v>536</v>
      </c>
      <c r="I37" s="2" t="s">
        <v>3126</v>
      </c>
      <c r="J37" s="2" t="s">
        <v>3190</v>
      </c>
      <c r="K37" s="2" t="s">
        <v>2211</v>
      </c>
      <c r="L37" s="2" t="s">
        <v>95</v>
      </c>
      <c r="M37" s="7" t="s">
        <v>568</v>
      </c>
      <c r="N37" s="2" t="s">
        <v>3196</v>
      </c>
      <c r="O37" s="2"/>
      <c r="P37" s="2" t="s">
        <v>3184</v>
      </c>
      <c r="Q37" s="2" t="s">
        <v>3172</v>
      </c>
      <c r="R37" s="2" t="s">
        <v>3158</v>
      </c>
      <c r="S37" s="2" t="s">
        <v>2321</v>
      </c>
      <c r="T37" s="2" t="s">
        <v>2355</v>
      </c>
      <c r="U37" s="2" t="s">
        <v>208</v>
      </c>
      <c r="V37" s="2" t="s">
        <v>2413</v>
      </c>
      <c r="W37" s="2"/>
      <c r="Y37" t="str">
        <f>PROPER(Table1[[#This Row],[Industry]])</f>
        <v>Транспорт / Склад И Логистика</v>
      </c>
      <c r="Z37" t="str">
        <f>PROPER(Table1[[#This Row],[Insole]])</f>
        <v>Текстил, Антибактериална Стелка, Ортопедична Стелка,Сменяема Стелка</v>
      </c>
    </row>
    <row r="38" spans="1:26" ht="12.75" customHeight="1" x14ac:dyDescent="0.2">
      <c r="A38" s="2" t="s">
        <v>564</v>
      </c>
      <c r="B38" s="2" t="s">
        <v>565</v>
      </c>
      <c r="C38" s="2" t="s">
        <v>566</v>
      </c>
      <c r="D38" s="2" t="s">
        <v>1862</v>
      </c>
      <c r="E38" s="2" t="s">
        <v>2658</v>
      </c>
      <c r="F38" s="2"/>
      <c r="G38" s="2" t="s">
        <v>567</v>
      </c>
      <c r="H38" s="2" t="s">
        <v>536</v>
      </c>
      <c r="I38" s="2" t="s">
        <v>3128</v>
      </c>
      <c r="J38" s="2" t="s">
        <v>3190</v>
      </c>
      <c r="K38" s="2" t="s">
        <v>1787</v>
      </c>
      <c r="L38" s="2" t="s">
        <v>95</v>
      </c>
      <c r="M38" s="7" t="s">
        <v>568</v>
      </c>
      <c r="N38" s="2" t="s">
        <v>3196</v>
      </c>
      <c r="O38" s="2"/>
      <c r="P38" s="2" t="s">
        <v>3184</v>
      </c>
      <c r="Q38" s="2" t="s">
        <v>3172</v>
      </c>
      <c r="R38" s="2" t="s">
        <v>3158</v>
      </c>
      <c r="S38" s="2" t="s">
        <v>2321</v>
      </c>
      <c r="T38" s="2" t="s">
        <v>2355</v>
      </c>
      <c r="U38" s="2" t="s">
        <v>208</v>
      </c>
      <c r="V38" s="2" t="s">
        <v>2383</v>
      </c>
      <c r="W38" s="2"/>
      <c r="Y38" t="str">
        <f>PROPER(Table1[[#This Row],[Industry]])</f>
        <v>Лека Индустрия, Транспорт / Склад И Логистика</v>
      </c>
      <c r="Z38" t="str">
        <f>PROPER(Table1[[#This Row],[Insole]])</f>
        <v>Текстил, Антибактериална Стелка, Ортопедична Стелка,Сменяема Стелка</v>
      </c>
    </row>
    <row r="39" spans="1:26" ht="12.75" customHeight="1" x14ac:dyDescent="0.2">
      <c r="A39" s="2" t="s">
        <v>1295</v>
      </c>
      <c r="B39" s="2" t="s">
        <v>1296</v>
      </c>
      <c r="C39" s="2" t="s">
        <v>1297</v>
      </c>
      <c r="D39" s="2" t="s">
        <v>1928</v>
      </c>
      <c r="E39" s="2" t="s">
        <v>2887</v>
      </c>
      <c r="F39" s="2"/>
      <c r="G39" s="2" t="s">
        <v>567</v>
      </c>
      <c r="H39" s="2" t="s">
        <v>536</v>
      </c>
      <c r="I39" s="2" t="s">
        <v>3126</v>
      </c>
      <c r="J39" s="2" t="s">
        <v>3190</v>
      </c>
      <c r="K39" s="2" t="s">
        <v>1787</v>
      </c>
      <c r="L39" s="2" t="s">
        <v>95</v>
      </c>
      <c r="M39" s="7" t="s">
        <v>658</v>
      </c>
      <c r="N39" s="2" t="s">
        <v>3196</v>
      </c>
      <c r="O39" s="2"/>
      <c r="P39" s="2" t="s">
        <v>3170</v>
      </c>
      <c r="Q39" s="2" t="s">
        <v>3172</v>
      </c>
      <c r="R39" s="2" t="s">
        <v>3158</v>
      </c>
      <c r="S39" s="2" t="s">
        <v>2321</v>
      </c>
      <c r="T39" s="2" t="s">
        <v>2355</v>
      </c>
      <c r="U39" s="2" t="s">
        <v>208</v>
      </c>
      <c r="V39" s="2" t="s">
        <v>2381</v>
      </c>
      <c r="W39" s="2"/>
      <c r="Y39" t="str">
        <f>PROPER(Table1[[#This Row],[Industry]])</f>
        <v>Транспорт / Склад И Логистика</v>
      </c>
      <c r="Z39" t="str">
        <f>PROPER(Table1[[#This Row],[Insole]])</f>
        <v>Текстил, Антибактериална Стелка, Ортопедична Стелка,Сменяема Стелка</v>
      </c>
    </row>
    <row r="40" spans="1:26" ht="12.75" customHeight="1" x14ac:dyDescent="0.2">
      <c r="A40" s="2" t="s">
        <v>1313</v>
      </c>
      <c r="B40" s="2" t="s">
        <v>1314</v>
      </c>
      <c r="C40" s="2" t="s">
        <v>1315</v>
      </c>
      <c r="D40" s="2" t="s">
        <v>1932</v>
      </c>
      <c r="E40" s="2" t="s">
        <v>2892</v>
      </c>
      <c r="F40" s="2"/>
      <c r="G40" s="2" t="s">
        <v>567</v>
      </c>
      <c r="H40" s="2" t="s">
        <v>536</v>
      </c>
      <c r="I40" s="2" t="s">
        <v>3150</v>
      </c>
      <c r="J40" s="2" t="s">
        <v>3190</v>
      </c>
      <c r="K40" s="2" t="s">
        <v>1787</v>
      </c>
      <c r="L40" s="2" t="s">
        <v>95</v>
      </c>
      <c r="M40" s="7" t="s">
        <v>683</v>
      </c>
      <c r="N40" s="2" t="s">
        <v>3197</v>
      </c>
      <c r="O40" s="2"/>
      <c r="P40" s="2" t="s">
        <v>3170</v>
      </c>
      <c r="Q40" s="2" t="s">
        <v>3172</v>
      </c>
      <c r="R40" s="2" t="s">
        <v>3158</v>
      </c>
      <c r="S40" s="2" t="s">
        <v>2321</v>
      </c>
      <c r="T40" s="2" t="s">
        <v>2355</v>
      </c>
      <c r="U40" s="2" t="s">
        <v>651</v>
      </c>
      <c r="V40" s="2" t="s">
        <v>2381</v>
      </c>
      <c r="W40" s="2"/>
      <c r="Y40" t="str">
        <f>PROPER(Table1[[#This Row],[Industry]])</f>
        <v>Лека Индустрия</v>
      </c>
      <c r="Z40" t="str">
        <f>PROPER(Table1[[#This Row],[Insole]])</f>
        <v>Текстил, Антибактериална Стелка, Ортопедична Стелка,Сменяема Стелка</v>
      </c>
    </row>
    <row r="41" spans="1:26" ht="12.75" customHeight="1" x14ac:dyDescent="0.2">
      <c r="A41" s="2" t="s">
        <v>1307</v>
      </c>
      <c r="B41" s="2" t="s">
        <v>1308</v>
      </c>
      <c r="C41" s="2" t="s">
        <v>1309</v>
      </c>
      <c r="D41" s="2" t="s">
        <v>1931</v>
      </c>
      <c r="E41" s="2" t="s">
        <v>2891</v>
      </c>
      <c r="F41" s="2"/>
      <c r="G41" s="2" t="s">
        <v>567</v>
      </c>
      <c r="H41" s="2" t="s">
        <v>536</v>
      </c>
      <c r="I41" s="2" t="s">
        <v>3150</v>
      </c>
      <c r="J41" s="2" t="s">
        <v>3190</v>
      </c>
      <c r="K41" s="2" t="s">
        <v>1787</v>
      </c>
      <c r="L41" s="2" t="s">
        <v>95</v>
      </c>
      <c r="M41" s="7" t="s">
        <v>699</v>
      </c>
      <c r="N41" s="2" t="s">
        <v>3196</v>
      </c>
      <c r="O41" s="2"/>
      <c r="P41" s="2" t="s">
        <v>3171</v>
      </c>
      <c r="Q41" s="2" t="s">
        <v>3172</v>
      </c>
      <c r="R41" s="2" t="s">
        <v>3158</v>
      </c>
      <c r="S41" s="2" t="s">
        <v>2321</v>
      </c>
      <c r="T41" s="2" t="s">
        <v>2355</v>
      </c>
      <c r="U41" s="2" t="s">
        <v>49</v>
      </c>
      <c r="V41" s="2" t="s">
        <v>2424</v>
      </c>
      <c r="W41" s="2"/>
      <c r="Y41" t="str">
        <f>PROPER(Table1[[#This Row],[Industry]])</f>
        <v>Лека Индустрия</v>
      </c>
      <c r="Z41" t="str">
        <f>PROPER(Table1[[#This Row],[Insole]])</f>
        <v>Текстил, Антибактериална Стелка, Ортопедична Стелка,Сменяема Стелка</v>
      </c>
    </row>
    <row r="42" spans="1:26" ht="12.75" customHeight="1" x14ac:dyDescent="0.2">
      <c r="A42" s="2" t="s">
        <v>655</v>
      </c>
      <c r="B42" s="2" t="s">
        <v>656</v>
      </c>
      <c r="C42" s="2" t="s">
        <v>657</v>
      </c>
      <c r="D42" s="2" t="s">
        <v>2003</v>
      </c>
      <c r="E42" s="2" t="s">
        <v>2684</v>
      </c>
      <c r="F42" s="2"/>
      <c r="G42" s="2" t="s">
        <v>567</v>
      </c>
      <c r="H42" s="2" t="s">
        <v>536</v>
      </c>
      <c r="I42" s="2" t="s">
        <v>3109</v>
      </c>
      <c r="J42" s="2" t="s">
        <v>3190</v>
      </c>
      <c r="K42" s="2" t="s">
        <v>1984</v>
      </c>
      <c r="L42" s="2" t="s">
        <v>95</v>
      </c>
      <c r="M42" s="7" t="s">
        <v>658</v>
      </c>
      <c r="N42" s="2" t="s">
        <v>3213</v>
      </c>
      <c r="O42" s="2"/>
      <c r="P42" s="2" t="s">
        <v>3173</v>
      </c>
      <c r="Q42" s="2" t="s">
        <v>3172</v>
      </c>
      <c r="R42" s="2" t="s">
        <v>3158</v>
      </c>
      <c r="S42" s="2" t="s">
        <v>2321</v>
      </c>
      <c r="T42" s="2" t="s">
        <v>2361</v>
      </c>
      <c r="U42" s="2" t="s">
        <v>651</v>
      </c>
      <c r="V42" s="2" t="s">
        <v>2388</v>
      </c>
      <c r="W42" s="2"/>
      <c r="Y42" t="str">
        <f>PROPER(Table1[[#This Row],[Industry]])</f>
        <v>Хранително-Вкусова Индустрия</v>
      </c>
      <c r="Z42" t="str">
        <f>PROPER(Table1[[#This Row],[Insole]])</f>
        <v>Текстил, Антибактериална Стелка, Ортопедична Стелка,Сменяема Стелка</v>
      </c>
    </row>
    <row r="43" spans="1:26" ht="12.75" customHeight="1" x14ac:dyDescent="0.2">
      <c r="A43" s="2" t="s">
        <v>659</v>
      </c>
      <c r="B43" s="2" t="s">
        <v>660</v>
      </c>
      <c r="C43" s="2" t="s">
        <v>661</v>
      </c>
      <c r="D43" s="2" t="s">
        <v>2004</v>
      </c>
      <c r="E43" s="2" t="s">
        <v>2685</v>
      </c>
      <c r="F43" s="2"/>
      <c r="G43" s="2" t="s">
        <v>567</v>
      </c>
      <c r="H43" s="2" t="s">
        <v>536</v>
      </c>
      <c r="I43" s="2" t="s">
        <v>3109</v>
      </c>
      <c r="J43" s="2" t="s">
        <v>3190</v>
      </c>
      <c r="K43" s="2" t="s">
        <v>1984</v>
      </c>
      <c r="L43" s="2" t="s">
        <v>95</v>
      </c>
      <c r="M43" s="7" t="s">
        <v>658</v>
      </c>
      <c r="N43" s="2" t="s">
        <v>3213</v>
      </c>
      <c r="O43" s="2"/>
      <c r="P43" s="2" t="s">
        <v>3173</v>
      </c>
      <c r="Q43" s="2" t="s">
        <v>3172</v>
      </c>
      <c r="R43" s="2" t="s">
        <v>3158</v>
      </c>
      <c r="S43" s="2" t="s">
        <v>2321</v>
      </c>
      <c r="T43" s="2" t="s">
        <v>2355</v>
      </c>
      <c r="U43" s="2" t="s">
        <v>208</v>
      </c>
      <c r="V43" s="2" t="s">
        <v>2370</v>
      </c>
      <c r="W43" s="2"/>
      <c r="Y43" t="str">
        <f>PROPER(Table1[[#This Row],[Industry]])</f>
        <v>Хранително-Вкусова Индустрия</v>
      </c>
      <c r="Z43" t="str">
        <f>PROPER(Table1[[#This Row],[Insole]])</f>
        <v>Текстил, Антибактериална Стелка, Ортопедична Стелка,Сменяема Стелка</v>
      </c>
    </row>
    <row r="44" spans="1:26" ht="12.75" customHeight="1" x14ac:dyDescent="0.2">
      <c r="A44" s="2" t="s">
        <v>668</v>
      </c>
      <c r="B44" s="2" t="s">
        <v>669</v>
      </c>
      <c r="C44" s="2" t="s">
        <v>670</v>
      </c>
      <c r="D44" s="2" t="s">
        <v>2005</v>
      </c>
      <c r="E44" s="2" t="s">
        <v>2688</v>
      </c>
      <c r="F44" s="2"/>
      <c r="G44" s="2" t="s">
        <v>567</v>
      </c>
      <c r="H44" s="2" t="s">
        <v>536</v>
      </c>
      <c r="I44" s="2" t="s">
        <v>3110</v>
      </c>
      <c r="J44" s="2" t="s">
        <v>3190</v>
      </c>
      <c r="K44" s="2" t="s">
        <v>1984</v>
      </c>
      <c r="L44" s="2" t="s">
        <v>95</v>
      </c>
      <c r="M44" s="7" t="s">
        <v>658</v>
      </c>
      <c r="N44" s="2" t="s">
        <v>3213</v>
      </c>
      <c r="O44" s="2"/>
      <c r="P44" s="2" t="s">
        <v>3173</v>
      </c>
      <c r="Q44" s="2" t="s">
        <v>3172</v>
      </c>
      <c r="R44" s="2" t="s">
        <v>3158</v>
      </c>
      <c r="S44" s="2" t="s">
        <v>2321</v>
      </c>
      <c r="T44" s="2" t="s">
        <v>2361</v>
      </c>
      <c r="U44" s="2" t="s">
        <v>49</v>
      </c>
      <c r="V44" s="2" t="s">
        <v>2433</v>
      </c>
      <c r="W44" s="2"/>
      <c r="Y44" t="str">
        <f>PROPER(Table1[[#This Row],[Industry]])</f>
        <v>Гастрономия / Кухня</v>
      </c>
      <c r="Z44" t="str">
        <f>PROPER(Table1[[#This Row],[Insole]])</f>
        <v>Текстил, Антибактериална Стелка, Ортопедична Стелка,Сменяема Стелка</v>
      </c>
    </row>
    <row r="45" spans="1:26" ht="12.75" customHeight="1" x14ac:dyDescent="0.2">
      <c r="A45" s="2" t="s">
        <v>1277</v>
      </c>
      <c r="B45" s="2" t="s">
        <v>1278</v>
      </c>
      <c r="C45" s="2" t="s">
        <v>1279</v>
      </c>
      <c r="D45" s="2" t="s">
        <v>2058</v>
      </c>
      <c r="E45" s="2" t="s">
        <v>2881</v>
      </c>
      <c r="F45" s="2"/>
      <c r="G45" s="2" t="s">
        <v>567</v>
      </c>
      <c r="H45" s="2" t="s">
        <v>536</v>
      </c>
      <c r="I45" s="2" t="s">
        <v>3109</v>
      </c>
      <c r="J45" s="2" t="s">
        <v>3190</v>
      </c>
      <c r="K45" s="2" t="s">
        <v>1984</v>
      </c>
      <c r="L45" s="2" t="s">
        <v>95</v>
      </c>
      <c r="M45" s="7" t="s">
        <v>658</v>
      </c>
      <c r="N45" s="2" t="s">
        <v>3213</v>
      </c>
      <c r="O45" s="2"/>
      <c r="P45" s="2" t="s">
        <v>3173</v>
      </c>
      <c r="Q45" s="2" t="s">
        <v>3172</v>
      </c>
      <c r="R45" s="2" t="s">
        <v>3158</v>
      </c>
      <c r="S45" s="2" t="s">
        <v>2321</v>
      </c>
      <c r="T45" s="2" t="s">
        <v>2361</v>
      </c>
      <c r="U45" s="2" t="s">
        <v>651</v>
      </c>
      <c r="V45" s="2" t="s">
        <v>2388</v>
      </c>
      <c r="W45" s="2"/>
      <c r="Y45" t="str">
        <f>PROPER(Table1[[#This Row],[Industry]])</f>
        <v>Хранително-Вкусова Индустрия</v>
      </c>
      <c r="Z45" t="str">
        <f>PROPER(Table1[[#This Row],[Insole]])</f>
        <v>Текстил, Антибактериална Стелка, Ортопедична Стелка,Сменяема Стелка</v>
      </c>
    </row>
    <row r="46" spans="1:26" ht="12.75" customHeight="1" x14ac:dyDescent="0.2">
      <c r="A46" s="2" t="s">
        <v>1280</v>
      </c>
      <c r="B46" s="2" t="s">
        <v>1281</v>
      </c>
      <c r="C46" s="2" t="s">
        <v>1282</v>
      </c>
      <c r="D46" s="2" t="s">
        <v>2059</v>
      </c>
      <c r="E46" s="2" t="s">
        <v>2882</v>
      </c>
      <c r="F46" s="2"/>
      <c r="G46" s="2" t="s">
        <v>567</v>
      </c>
      <c r="H46" s="2" t="s">
        <v>536</v>
      </c>
      <c r="I46" s="2" t="s">
        <v>3109</v>
      </c>
      <c r="J46" s="2" t="s">
        <v>3190</v>
      </c>
      <c r="K46" s="2" t="s">
        <v>1984</v>
      </c>
      <c r="L46" s="2" t="s">
        <v>95</v>
      </c>
      <c r="M46" s="7" t="s">
        <v>658</v>
      </c>
      <c r="N46" s="2" t="s">
        <v>3213</v>
      </c>
      <c r="O46" s="2"/>
      <c r="P46" s="2" t="s">
        <v>3173</v>
      </c>
      <c r="Q46" s="2" t="s">
        <v>3172</v>
      </c>
      <c r="R46" s="2" t="s">
        <v>3158</v>
      </c>
      <c r="S46" s="2" t="s">
        <v>2321</v>
      </c>
      <c r="T46" s="2" t="s">
        <v>2355</v>
      </c>
      <c r="U46" s="2" t="s">
        <v>208</v>
      </c>
      <c r="V46" s="2" t="s">
        <v>2388</v>
      </c>
      <c r="W46" s="2"/>
      <c r="Y46" t="str">
        <f>PROPER(Table1[[#This Row],[Industry]])</f>
        <v>Хранително-Вкусова Индустрия</v>
      </c>
      <c r="Z46" t="str">
        <f>PROPER(Table1[[#This Row],[Insole]])</f>
        <v>Текстил, Антибактериална Стелка, Ортопедична Стелка,Сменяема Стелка</v>
      </c>
    </row>
    <row r="47" spans="1:26" ht="12.75" customHeight="1" x14ac:dyDescent="0.2">
      <c r="A47" s="2" t="s">
        <v>1289</v>
      </c>
      <c r="B47" s="2" t="s">
        <v>1290</v>
      </c>
      <c r="C47" s="2" t="s">
        <v>1291</v>
      </c>
      <c r="D47" s="2" t="s">
        <v>2060</v>
      </c>
      <c r="E47" s="2" t="s">
        <v>2885</v>
      </c>
      <c r="F47" s="2"/>
      <c r="G47" s="2" t="s">
        <v>567</v>
      </c>
      <c r="H47" s="2" t="s">
        <v>536</v>
      </c>
      <c r="I47" s="2" t="s">
        <v>3110</v>
      </c>
      <c r="J47" s="2" t="s">
        <v>3190</v>
      </c>
      <c r="K47" s="2" t="s">
        <v>1984</v>
      </c>
      <c r="L47" s="2" t="s">
        <v>95</v>
      </c>
      <c r="M47" s="7" t="s">
        <v>658</v>
      </c>
      <c r="N47" s="2" t="s">
        <v>3213</v>
      </c>
      <c r="O47" s="2"/>
      <c r="P47" s="2" t="s">
        <v>3173</v>
      </c>
      <c r="Q47" s="2" t="s">
        <v>3172</v>
      </c>
      <c r="R47" s="2" t="s">
        <v>3158</v>
      </c>
      <c r="S47" s="2" t="s">
        <v>2321</v>
      </c>
      <c r="T47" s="2" t="s">
        <v>2361</v>
      </c>
      <c r="U47" s="2" t="s">
        <v>49</v>
      </c>
      <c r="V47" s="2" t="s">
        <v>2433</v>
      </c>
      <c r="W47" s="2"/>
      <c r="Y47" t="str">
        <f>PROPER(Table1[[#This Row],[Industry]])</f>
        <v>Гастрономия / Кухня</v>
      </c>
      <c r="Z47" t="str">
        <f>PROPER(Table1[[#This Row],[Insole]])</f>
        <v>Текстил, Антибактериална Стелка, Ортопедична Стелка,Сменяема Стелка</v>
      </c>
    </row>
    <row r="48" spans="1:26" ht="12.75" customHeight="1" x14ac:dyDescent="0.2">
      <c r="A48" s="2" t="s">
        <v>662</v>
      </c>
      <c r="B48" s="2" t="s">
        <v>663</v>
      </c>
      <c r="C48" s="2" t="s">
        <v>664</v>
      </c>
      <c r="D48" s="2" t="s">
        <v>1874</v>
      </c>
      <c r="E48" s="2" t="s">
        <v>2686</v>
      </c>
      <c r="F48" s="2"/>
      <c r="G48" s="2" t="s">
        <v>567</v>
      </c>
      <c r="H48" s="2" t="s">
        <v>536</v>
      </c>
      <c r="I48" s="2" t="s">
        <v>3113</v>
      </c>
      <c r="J48" s="2" t="s">
        <v>3190</v>
      </c>
      <c r="K48" s="2" t="s">
        <v>1787</v>
      </c>
      <c r="L48" s="2" t="s">
        <v>95</v>
      </c>
      <c r="M48" s="7" t="s">
        <v>658</v>
      </c>
      <c r="N48" s="2" t="s">
        <v>3213</v>
      </c>
      <c r="O48" s="2"/>
      <c r="P48" s="2" t="s">
        <v>3173</v>
      </c>
      <c r="Q48" s="2" t="s">
        <v>3172</v>
      </c>
      <c r="R48" s="2" t="s">
        <v>3158</v>
      </c>
      <c r="S48" s="2" t="s">
        <v>2321</v>
      </c>
      <c r="T48" s="2" t="s">
        <v>2361</v>
      </c>
      <c r="U48" s="2" t="s">
        <v>651</v>
      </c>
      <c r="V48" s="2" t="s">
        <v>2370</v>
      </c>
      <c r="W48" s="2"/>
      <c r="Y48" t="str">
        <f>PROPER(Table1[[#This Row],[Industry]])</f>
        <v>Хранително-Вкусова Индустрия, Гастрономия / Кухня, Хорека, Болничен Персонал</v>
      </c>
      <c r="Z48" t="str">
        <f>PROPER(Table1[[#This Row],[Insole]])</f>
        <v>Текстил, Антибактериална Стелка, Ортопедична Стелка,Сменяема Стелка</v>
      </c>
    </row>
    <row r="49" spans="1:26" ht="12.75" customHeight="1" x14ac:dyDescent="0.2">
      <c r="A49" s="2" t="s">
        <v>665</v>
      </c>
      <c r="B49" s="2" t="s">
        <v>666</v>
      </c>
      <c r="C49" s="2" t="s">
        <v>667</v>
      </c>
      <c r="D49" s="2" t="s">
        <v>1875</v>
      </c>
      <c r="E49" s="9" t="s">
        <v>2687</v>
      </c>
      <c r="F49" s="2"/>
      <c r="G49" s="2" t="s">
        <v>567</v>
      </c>
      <c r="H49" s="2" t="s">
        <v>536</v>
      </c>
      <c r="I49" s="2" t="s">
        <v>3109</v>
      </c>
      <c r="J49" s="2" t="s">
        <v>3190</v>
      </c>
      <c r="K49" s="2" t="s">
        <v>1787</v>
      </c>
      <c r="L49" s="2" t="s">
        <v>95</v>
      </c>
      <c r="M49" s="7" t="s">
        <v>658</v>
      </c>
      <c r="N49" s="2" t="s">
        <v>3213</v>
      </c>
      <c r="O49" s="2"/>
      <c r="P49" s="2" t="s">
        <v>3173</v>
      </c>
      <c r="Q49" s="2" t="s">
        <v>3172</v>
      </c>
      <c r="R49" s="2" t="s">
        <v>3158</v>
      </c>
      <c r="S49" s="2" t="s">
        <v>2321</v>
      </c>
      <c r="T49" s="2" t="s">
        <v>2355</v>
      </c>
      <c r="U49" s="2" t="s">
        <v>208</v>
      </c>
      <c r="V49" s="2" t="s">
        <v>2370</v>
      </c>
      <c r="W49" s="2"/>
      <c r="Y49" t="str">
        <f>PROPER(Table1[[#This Row],[Industry]])</f>
        <v>Хранително-Вкусова Индустрия</v>
      </c>
      <c r="Z49" t="str">
        <f>PROPER(Table1[[#This Row],[Insole]])</f>
        <v>Текстил, Антибактериална Стелка, Ортопедична Стелка,Сменяема Стелка</v>
      </c>
    </row>
    <row r="50" spans="1:26" ht="12.75" customHeight="1" x14ac:dyDescent="0.2">
      <c r="A50" s="2" t="s">
        <v>1283</v>
      </c>
      <c r="B50" s="2" t="s">
        <v>1284</v>
      </c>
      <c r="C50" s="2" t="s">
        <v>1285</v>
      </c>
      <c r="D50" s="2" t="s">
        <v>1926</v>
      </c>
      <c r="E50" s="2" t="s">
        <v>2883</v>
      </c>
      <c r="F50" s="2"/>
      <c r="G50" s="2" t="s">
        <v>567</v>
      </c>
      <c r="H50" s="2" t="s">
        <v>536</v>
      </c>
      <c r="I50" s="2" t="s">
        <v>3109</v>
      </c>
      <c r="J50" s="2" t="s">
        <v>3190</v>
      </c>
      <c r="K50" s="2" t="s">
        <v>1787</v>
      </c>
      <c r="L50" s="2" t="s">
        <v>95</v>
      </c>
      <c r="M50" s="7" t="s">
        <v>658</v>
      </c>
      <c r="N50" s="2" t="s">
        <v>3213</v>
      </c>
      <c r="O50" s="2"/>
      <c r="P50" s="2" t="s">
        <v>3173</v>
      </c>
      <c r="Q50" s="2" t="s">
        <v>3172</v>
      </c>
      <c r="R50" s="2" t="s">
        <v>3158</v>
      </c>
      <c r="S50" s="2" t="s">
        <v>2321</v>
      </c>
      <c r="T50" s="2" t="s">
        <v>2361</v>
      </c>
      <c r="U50" s="2" t="s">
        <v>651</v>
      </c>
      <c r="V50" s="2" t="s">
        <v>2388</v>
      </c>
      <c r="W50" s="2"/>
      <c r="Y50" t="str">
        <f>PROPER(Table1[[#This Row],[Industry]])</f>
        <v>Хранително-Вкусова Индустрия</v>
      </c>
      <c r="Z50" t="str">
        <f>PROPER(Table1[[#This Row],[Insole]])</f>
        <v>Текстил, Антибактериална Стелка, Ортопедична Стелка,Сменяема Стелка</v>
      </c>
    </row>
    <row r="51" spans="1:26" ht="12.75" customHeight="1" x14ac:dyDescent="0.2">
      <c r="A51" s="2" t="s">
        <v>1286</v>
      </c>
      <c r="B51" s="2" t="s">
        <v>1287</v>
      </c>
      <c r="C51" s="2" t="s">
        <v>1288</v>
      </c>
      <c r="D51" s="2" t="s">
        <v>1927</v>
      </c>
      <c r="E51" s="2" t="s">
        <v>2884</v>
      </c>
      <c r="F51" s="2"/>
      <c r="G51" s="2" t="s">
        <v>567</v>
      </c>
      <c r="H51" s="2" t="s">
        <v>536</v>
      </c>
      <c r="I51" s="2" t="s">
        <v>3109</v>
      </c>
      <c r="J51" s="2" t="s">
        <v>3190</v>
      </c>
      <c r="K51" s="2" t="s">
        <v>1787</v>
      </c>
      <c r="L51" s="2" t="s">
        <v>95</v>
      </c>
      <c r="M51" s="7" t="s">
        <v>658</v>
      </c>
      <c r="N51" s="2" t="s">
        <v>3213</v>
      </c>
      <c r="O51" s="2"/>
      <c r="P51" s="2" t="s">
        <v>3173</v>
      </c>
      <c r="Q51" s="2" t="s">
        <v>3172</v>
      </c>
      <c r="R51" s="2" t="s">
        <v>3158</v>
      </c>
      <c r="S51" s="2" t="s">
        <v>2321</v>
      </c>
      <c r="T51" s="2" t="s">
        <v>2355</v>
      </c>
      <c r="U51" s="2" t="s">
        <v>208</v>
      </c>
      <c r="V51" s="2" t="s">
        <v>2465</v>
      </c>
      <c r="W51" s="2"/>
      <c r="Y51" t="str">
        <f>PROPER(Table1[[#This Row],[Industry]])</f>
        <v>Хранително-Вкусова Индустрия</v>
      </c>
      <c r="Z51" t="str">
        <f>PROPER(Table1[[#This Row],[Insole]])</f>
        <v>Текстил, Антибактериална Стелка, Ортопедична Стелка,Сменяема Стелка</v>
      </c>
    </row>
    <row r="52" spans="1:26" ht="12.75" customHeight="1" x14ac:dyDescent="0.2">
      <c r="A52" s="2" t="s">
        <v>680</v>
      </c>
      <c r="B52" s="2" t="s">
        <v>681</v>
      </c>
      <c r="C52" s="2" t="s">
        <v>682</v>
      </c>
      <c r="D52" s="2" t="s">
        <v>2244</v>
      </c>
      <c r="E52" s="2" t="s">
        <v>2692</v>
      </c>
      <c r="F52" s="2"/>
      <c r="G52" s="2" t="s">
        <v>567</v>
      </c>
      <c r="H52" s="2" t="s">
        <v>536</v>
      </c>
      <c r="I52" s="2" t="s">
        <v>3126</v>
      </c>
      <c r="J52" s="2" t="s">
        <v>3190</v>
      </c>
      <c r="K52" s="2" t="s">
        <v>2241</v>
      </c>
      <c r="L52" s="2" t="s">
        <v>95</v>
      </c>
      <c r="M52" s="7" t="s">
        <v>683</v>
      </c>
      <c r="N52" s="2" t="s">
        <v>3196</v>
      </c>
      <c r="O52" s="2"/>
      <c r="P52" s="2" t="s">
        <v>3168</v>
      </c>
      <c r="Q52" s="2" t="s">
        <v>3172</v>
      </c>
      <c r="R52" s="2" t="s">
        <v>3158</v>
      </c>
      <c r="S52" s="2" t="s">
        <v>2321</v>
      </c>
      <c r="T52" s="2" t="s">
        <v>2355</v>
      </c>
      <c r="U52" s="2" t="s">
        <v>651</v>
      </c>
      <c r="V52" s="2" t="s">
        <v>2413</v>
      </c>
      <c r="W52" s="2"/>
      <c r="Y52" t="str">
        <f>PROPER(Table1[[#This Row],[Industry]])</f>
        <v>Транспорт / Склад И Логистика</v>
      </c>
      <c r="Z52" t="str">
        <f>PROPER(Table1[[#This Row],[Insole]])</f>
        <v>Текстил, Антибактериална Стелка, Ортопедична Стелка,Сменяема Стелка</v>
      </c>
    </row>
    <row r="53" spans="1:26" ht="12.75" customHeight="1" x14ac:dyDescent="0.2">
      <c r="A53" s="2" t="s">
        <v>687</v>
      </c>
      <c r="B53" s="2" t="s">
        <v>688</v>
      </c>
      <c r="C53" s="2" t="s">
        <v>689</v>
      </c>
      <c r="D53" s="2" t="s">
        <v>2263</v>
      </c>
      <c r="E53" s="2" t="s">
        <v>2694</v>
      </c>
      <c r="F53" s="2"/>
      <c r="G53" s="2" t="s">
        <v>567</v>
      </c>
      <c r="H53" s="2" t="s">
        <v>536</v>
      </c>
      <c r="I53" s="2" t="s">
        <v>3126</v>
      </c>
      <c r="J53" s="2" t="s">
        <v>3190</v>
      </c>
      <c r="K53" s="2" t="s">
        <v>2262</v>
      </c>
      <c r="L53" s="2" t="s">
        <v>95</v>
      </c>
      <c r="M53" s="7" t="s">
        <v>683</v>
      </c>
      <c r="N53" s="2" t="s">
        <v>3196</v>
      </c>
      <c r="O53" s="2"/>
      <c r="P53" s="2" t="s">
        <v>3168</v>
      </c>
      <c r="Q53" s="2" t="s">
        <v>3172</v>
      </c>
      <c r="R53" s="2" t="s">
        <v>3158</v>
      </c>
      <c r="S53" s="2" t="s">
        <v>2321</v>
      </c>
      <c r="T53" s="2" t="s">
        <v>2355</v>
      </c>
      <c r="U53" s="2" t="s">
        <v>49</v>
      </c>
      <c r="V53" s="2" t="s">
        <v>2413</v>
      </c>
      <c r="W53" s="2"/>
      <c r="Y53" t="str">
        <f>PROPER(Table1[[#This Row],[Industry]])</f>
        <v>Транспорт / Склад И Логистика</v>
      </c>
      <c r="Z53" t="str">
        <f>PROPER(Table1[[#This Row],[Insole]])</f>
        <v>Текстил, Антибактериална Стелка, Ортопедична Стелка,Сменяема Стелка</v>
      </c>
    </row>
    <row r="54" spans="1:26" ht="12.75" customHeight="1" x14ac:dyDescent="0.2">
      <c r="A54" s="2" t="s">
        <v>684</v>
      </c>
      <c r="B54" s="2" t="s">
        <v>685</v>
      </c>
      <c r="C54" s="2" t="s">
        <v>686</v>
      </c>
      <c r="D54" s="2" t="s">
        <v>2224</v>
      </c>
      <c r="E54" s="2" t="s">
        <v>2693</v>
      </c>
      <c r="F54" s="2"/>
      <c r="G54" s="2" t="s">
        <v>567</v>
      </c>
      <c r="H54" s="2" t="s">
        <v>536</v>
      </c>
      <c r="I54" s="2" t="s">
        <v>3126</v>
      </c>
      <c r="J54" s="2" t="s">
        <v>3190</v>
      </c>
      <c r="K54" s="2" t="s">
        <v>2211</v>
      </c>
      <c r="L54" s="2" t="s">
        <v>95</v>
      </c>
      <c r="M54" s="7" t="s">
        <v>683</v>
      </c>
      <c r="N54" s="2" t="s">
        <v>3196</v>
      </c>
      <c r="O54" s="2"/>
      <c r="P54" s="2" t="s">
        <v>3168</v>
      </c>
      <c r="Q54" s="2" t="s">
        <v>3172</v>
      </c>
      <c r="R54" s="2" t="s">
        <v>3158</v>
      </c>
      <c r="S54" s="2" t="s">
        <v>2321</v>
      </c>
      <c r="T54" s="2" t="s">
        <v>2355</v>
      </c>
      <c r="U54" s="2" t="s">
        <v>49</v>
      </c>
      <c r="V54" s="2" t="s">
        <v>2413</v>
      </c>
      <c r="W54" s="2"/>
      <c r="Y54" t="str">
        <f>PROPER(Table1[[#This Row],[Industry]])</f>
        <v>Транспорт / Склад И Логистика</v>
      </c>
      <c r="Z54" t="str">
        <f>PROPER(Table1[[#This Row],[Insole]])</f>
        <v>Текстил, Антибактериална Стелка, Ортопедична Стелка,Сменяема Стелка</v>
      </c>
    </row>
    <row r="55" spans="1:26" ht="12.75" customHeight="1" x14ac:dyDescent="0.2">
      <c r="A55" s="2" t="s">
        <v>671</v>
      </c>
      <c r="B55" s="2" t="s">
        <v>672</v>
      </c>
      <c r="C55" s="2" t="s">
        <v>673</v>
      </c>
      <c r="D55" s="2" t="s">
        <v>1876</v>
      </c>
      <c r="E55" s="2" t="s">
        <v>2689</v>
      </c>
      <c r="F55" s="2"/>
      <c r="G55" s="2" t="s">
        <v>567</v>
      </c>
      <c r="H55" s="2" t="s">
        <v>536</v>
      </c>
      <c r="I55" s="2" t="s">
        <v>3126</v>
      </c>
      <c r="J55" s="2" t="s">
        <v>1783</v>
      </c>
      <c r="K55" s="2" t="s">
        <v>1787</v>
      </c>
      <c r="L55" s="2" t="s">
        <v>95</v>
      </c>
      <c r="M55" s="7" t="s">
        <v>658</v>
      </c>
      <c r="N55" s="2" t="s">
        <v>3196</v>
      </c>
      <c r="O55" s="2"/>
      <c r="P55" s="2" t="s">
        <v>3170</v>
      </c>
      <c r="Q55" s="2" t="s">
        <v>3172</v>
      </c>
      <c r="R55" s="2" t="s">
        <v>3158</v>
      </c>
      <c r="S55" s="2" t="s">
        <v>2321</v>
      </c>
      <c r="T55" s="2" t="s">
        <v>2355</v>
      </c>
      <c r="U55" s="2" t="s">
        <v>208</v>
      </c>
      <c r="V55" s="2" t="s">
        <v>2413</v>
      </c>
      <c r="W55" s="2"/>
      <c r="Y55" t="str">
        <f>PROPER(Table1[[#This Row],[Industry]])</f>
        <v>Транспорт / Склад И Логистика</v>
      </c>
      <c r="Z55" t="str">
        <f>PROPER(Table1[[#This Row],[Insole]])</f>
        <v>Текстил, Антибактериална Стелка, Ортопедична Стелка,Сменяема Стелка</v>
      </c>
    </row>
    <row r="56" spans="1:26" ht="12.75" customHeight="1" x14ac:dyDescent="0.2">
      <c r="A56" s="2" t="s">
        <v>1316</v>
      </c>
      <c r="B56" s="2" t="s">
        <v>1317</v>
      </c>
      <c r="C56" s="2" t="s">
        <v>1318</v>
      </c>
      <c r="D56" s="2" t="s">
        <v>1933</v>
      </c>
      <c r="E56" s="2" t="s">
        <v>2893</v>
      </c>
      <c r="F56" s="2"/>
      <c r="G56" s="2" t="s">
        <v>567</v>
      </c>
      <c r="H56" s="2" t="s">
        <v>536</v>
      </c>
      <c r="I56" s="2" t="s">
        <v>3150</v>
      </c>
      <c r="J56" s="2" t="s">
        <v>1783</v>
      </c>
      <c r="K56" s="2" t="s">
        <v>1787</v>
      </c>
      <c r="L56" s="2" t="s">
        <v>95</v>
      </c>
      <c r="M56" s="7" t="s">
        <v>683</v>
      </c>
      <c r="N56" s="2" t="s">
        <v>3197</v>
      </c>
      <c r="O56" s="2"/>
      <c r="P56" s="2" t="s">
        <v>3170</v>
      </c>
      <c r="Q56" s="2" t="s">
        <v>3172</v>
      </c>
      <c r="R56" s="2" t="s">
        <v>3158</v>
      </c>
      <c r="S56" s="2" t="s">
        <v>2321</v>
      </c>
      <c r="T56" s="2" t="s">
        <v>2355</v>
      </c>
      <c r="U56" s="2" t="s">
        <v>651</v>
      </c>
      <c r="V56" s="2" t="s">
        <v>2409</v>
      </c>
      <c r="W56" s="2"/>
      <c r="Y56" t="str">
        <f>PROPER(Table1[[#This Row],[Industry]])</f>
        <v>Лека Индустрия</v>
      </c>
      <c r="Z56" t="str">
        <f>PROPER(Table1[[#This Row],[Insole]])</f>
        <v>Текстил, Антибактериална Стелка, Ортопедична Стелка,Сменяема Стелка</v>
      </c>
    </row>
    <row r="57" spans="1:26" ht="12.75" customHeight="1" x14ac:dyDescent="0.2">
      <c r="A57" s="2" t="s">
        <v>1319</v>
      </c>
      <c r="B57" s="2" t="s">
        <v>1320</v>
      </c>
      <c r="C57" s="2" t="s">
        <v>1321</v>
      </c>
      <c r="D57" s="2" t="s">
        <v>1934</v>
      </c>
      <c r="E57" s="2" t="s">
        <v>2894</v>
      </c>
      <c r="F57" s="2"/>
      <c r="G57" s="2" t="s">
        <v>567</v>
      </c>
      <c r="H57" s="2" t="s">
        <v>536</v>
      </c>
      <c r="I57" s="2" t="s">
        <v>3150</v>
      </c>
      <c r="J57" s="2" t="s">
        <v>1783</v>
      </c>
      <c r="K57" s="2" t="s">
        <v>1787</v>
      </c>
      <c r="L57" s="2" t="s">
        <v>95</v>
      </c>
      <c r="M57" s="7" t="s">
        <v>683</v>
      </c>
      <c r="N57" s="2" t="s">
        <v>3197</v>
      </c>
      <c r="O57" s="2"/>
      <c r="P57" s="2" t="s">
        <v>3170</v>
      </c>
      <c r="Q57" s="2" t="s">
        <v>3172</v>
      </c>
      <c r="R57" s="2" t="s">
        <v>3158</v>
      </c>
      <c r="S57" s="2" t="s">
        <v>2321</v>
      </c>
      <c r="T57" s="2" t="s">
        <v>2355</v>
      </c>
      <c r="U57" s="2" t="s">
        <v>49</v>
      </c>
      <c r="V57" s="2" t="s">
        <v>2409</v>
      </c>
      <c r="W57" s="2"/>
      <c r="Y57" t="str">
        <f>PROPER(Table1[[#This Row],[Industry]])</f>
        <v>Лека Индустрия</v>
      </c>
      <c r="Z57" t="str">
        <f>PROPER(Table1[[#This Row],[Insole]])</f>
        <v>Текстил, Антибактериална Стелка, Ортопедична Стелка,Сменяема Стелка</v>
      </c>
    </row>
    <row r="58" spans="1:26" ht="12.75" customHeight="1" x14ac:dyDescent="0.2">
      <c r="A58" s="2" t="s">
        <v>677</v>
      </c>
      <c r="B58" s="2" t="s">
        <v>678</v>
      </c>
      <c r="C58" s="2" t="s">
        <v>679</v>
      </c>
      <c r="D58" s="2" t="s">
        <v>2006</v>
      </c>
      <c r="E58" s="2" t="s">
        <v>2691</v>
      </c>
      <c r="F58" s="2"/>
      <c r="G58" s="2" t="s">
        <v>567</v>
      </c>
      <c r="H58" s="2" t="s">
        <v>536</v>
      </c>
      <c r="I58" s="2" t="s">
        <v>3109</v>
      </c>
      <c r="J58" s="2" t="s">
        <v>1783</v>
      </c>
      <c r="K58" s="2" t="s">
        <v>1984</v>
      </c>
      <c r="L58" s="2" t="s">
        <v>95</v>
      </c>
      <c r="M58" s="7" t="s">
        <v>658</v>
      </c>
      <c r="N58" s="2" t="s">
        <v>3213</v>
      </c>
      <c r="O58" s="2"/>
      <c r="P58" s="2" t="s">
        <v>3173</v>
      </c>
      <c r="Q58" s="2" t="s">
        <v>3172</v>
      </c>
      <c r="R58" s="2" t="s">
        <v>3158</v>
      </c>
      <c r="S58" s="2" t="s">
        <v>2321</v>
      </c>
      <c r="T58" s="2" t="s">
        <v>2355</v>
      </c>
      <c r="U58" s="2" t="s">
        <v>208</v>
      </c>
      <c r="V58" s="2" t="s">
        <v>2381</v>
      </c>
      <c r="W58" s="2"/>
      <c r="Y58" t="str">
        <f>PROPER(Table1[[#This Row],[Industry]])</f>
        <v>Хранително-Вкусова Индустрия</v>
      </c>
      <c r="Z58" t="str">
        <f>PROPER(Table1[[#This Row],[Insole]])</f>
        <v>Текстил, Антибактериална Стелка, Ортопедична Стелка,Сменяема Стелка</v>
      </c>
    </row>
    <row r="59" spans="1:26" ht="12.75" customHeight="1" x14ac:dyDescent="0.2">
      <c r="A59" s="2" t="s">
        <v>1301</v>
      </c>
      <c r="B59" s="2" t="s">
        <v>1302</v>
      </c>
      <c r="C59" s="2" t="s">
        <v>1303</v>
      </c>
      <c r="D59" s="2" t="s">
        <v>2061</v>
      </c>
      <c r="E59" s="2" t="s">
        <v>2889</v>
      </c>
      <c r="F59" s="2"/>
      <c r="G59" s="2" t="s">
        <v>567</v>
      </c>
      <c r="H59" s="2" t="s">
        <v>536</v>
      </c>
      <c r="I59" s="2" t="s">
        <v>3109</v>
      </c>
      <c r="J59" s="2" t="s">
        <v>1783</v>
      </c>
      <c r="K59" s="2" t="s">
        <v>1984</v>
      </c>
      <c r="L59" s="2" t="s">
        <v>95</v>
      </c>
      <c r="M59" s="7" t="s">
        <v>658</v>
      </c>
      <c r="N59" s="2" t="s">
        <v>3213</v>
      </c>
      <c r="O59" s="2"/>
      <c r="P59" s="2" t="s">
        <v>3173</v>
      </c>
      <c r="Q59" s="2" t="s">
        <v>3172</v>
      </c>
      <c r="R59" s="2" t="s">
        <v>3158</v>
      </c>
      <c r="S59" s="2" t="s">
        <v>2321</v>
      </c>
      <c r="T59" s="2" t="s">
        <v>2355</v>
      </c>
      <c r="U59" s="2" t="s">
        <v>208</v>
      </c>
      <c r="V59" s="2" t="s">
        <v>2381</v>
      </c>
      <c r="W59" s="2"/>
      <c r="Y59" t="str">
        <f>PROPER(Table1[[#This Row],[Industry]])</f>
        <v>Хранително-Вкусова Индустрия</v>
      </c>
      <c r="Z59" t="str">
        <f>PROPER(Table1[[#This Row],[Insole]])</f>
        <v>Текстил, Антибактериална Стелка, Ортопедична Стелка,Сменяема Стелка</v>
      </c>
    </row>
    <row r="60" spans="1:26" ht="12.75" customHeight="1" x14ac:dyDescent="0.2">
      <c r="A60" s="2" t="s">
        <v>690</v>
      </c>
      <c r="B60" s="2" t="s">
        <v>691</v>
      </c>
      <c r="C60" s="2" t="s">
        <v>692</v>
      </c>
      <c r="D60" s="2" t="s">
        <v>2007</v>
      </c>
      <c r="E60" s="2" t="s">
        <v>2695</v>
      </c>
      <c r="F60" s="2"/>
      <c r="G60" s="2" t="s">
        <v>567</v>
      </c>
      <c r="H60" s="2" t="s">
        <v>536</v>
      </c>
      <c r="I60" s="2" t="s">
        <v>3109</v>
      </c>
      <c r="J60" s="2" t="s">
        <v>1783</v>
      </c>
      <c r="K60" s="2" t="s">
        <v>1984</v>
      </c>
      <c r="L60" s="2" t="s">
        <v>95</v>
      </c>
      <c r="M60" s="7" t="s">
        <v>683</v>
      </c>
      <c r="N60" s="2" t="s">
        <v>3213</v>
      </c>
      <c r="O60" s="2"/>
      <c r="P60" s="2" t="s">
        <v>3173</v>
      </c>
      <c r="Q60" s="2" t="s">
        <v>3168</v>
      </c>
      <c r="R60" s="2" t="s">
        <v>3158</v>
      </c>
      <c r="S60" s="2" t="s">
        <v>2321</v>
      </c>
      <c r="T60" s="2" t="s">
        <v>2361</v>
      </c>
      <c r="U60" s="2" t="s">
        <v>49</v>
      </c>
      <c r="V60" s="2" t="s">
        <v>2424</v>
      </c>
      <c r="W60" s="2"/>
      <c r="Y60" t="str">
        <f>PROPER(Table1[[#This Row],[Industry]])</f>
        <v>Хранително-Вкусова Индустрия</v>
      </c>
      <c r="Z60" t="str">
        <f>PROPER(Table1[[#This Row],[Insole]])</f>
        <v>Текстил, Антибактериална Стелка, Ортопедична Стелка,Сменяема Стелка</v>
      </c>
    </row>
    <row r="61" spans="1:26" ht="12.75" customHeight="1" x14ac:dyDescent="0.2">
      <c r="A61" s="2" t="s">
        <v>674</v>
      </c>
      <c r="B61" s="2" t="s">
        <v>675</v>
      </c>
      <c r="C61" s="2" t="s">
        <v>676</v>
      </c>
      <c r="D61" s="2" t="s">
        <v>1877</v>
      </c>
      <c r="E61" s="2" t="s">
        <v>2690</v>
      </c>
      <c r="F61" s="2"/>
      <c r="G61" s="2" t="s">
        <v>567</v>
      </c>
      <c r="H61" s="2" t="s">
        <v>536</v>
      </c>
      <c r="I61" s="2" t="s">
        <v>3109</v>
      </c>
      <c r="J61" s="2" t="s">
        <v>1783</v>
      </c>
      <c r="K61" s="2" t="s">
        <v>1787</v>
      </c>
      <c r="L61" s="2" t="s">
        <v>95</v>
      </c>
      <c r="M61" s="7" t="s">
        <v>658</v>
      </c>
      <c r="N61" s="2" t="s">
        <v>3213</v>
      </c>
      <c r="O61" s="2"/>
      <c r="P61" s="2" t="s">
        <v>3173</v>
      </c>
      <c r="Q61" s="2" t="s">
        <v>3172</v>
      </c>
      <c r="R61" s="2" t="s">
        <v>3158</v>
      </c>
      <c r="S61" s="2" t="s">
        <v>2321</v>
      </c>
      <c r="T61" s="2" t="s">
        <v>2355</v>
      </c>
      <c r="U61" s="2" t="s">
        <v>208</v>
      </c>
      <c r="V61" s="2" t="s">
        <v>2423</v>
      </c>
      <c r="W61" s="2"/>
      <c r="Y61" t="str">
        <f>PROPER(Table1[[#This Row],[Industry]])</f>
        <v>Хранително-Вкусова Индустрия</v>
      </c>
      <c r="Z61" t="str">
        <f>PROPER(Table1[[#This Row],[Insole]])</f>
        <v>Текстил, Антибактериална Стелка, Ортопедична Стелка,Сменяема Стелка</v>
      </c>
    </row>
    <row r="62" spans="1:26" ht="12.75" customHeight="1" x14ac:dyDescent="0.2">
      <c r="A62" s="2" t="s">
        <v>1298</v>
      </c>
      <c r="B62" s="2" t="s">
        <v>1299</v>
      </c>
      <c r="C62" s="2" t="s">
        <v>1300</v>
      </c>
      <c r="D62" s="2" t="s">
        <v>1929</v>
      </c>
      <c r="E62" s="2" t="s">
        <v>2888</v>
      </c>
      <c r="F62" s="2"/>
      <c r="G62" s="2" t="s">
        <v>567</v>
      </c>
      <c r="H62" s="2" t="s">
        <v>536</v>
      </c>
      <c r="I62" s="2" t="s">
        <v>3109</v>
      </c>
      <c r="J62" s="2" t="s">
        <v>1783</v>
      </c>
      <c r="K62" s="2" t="s">
        <v>1787</v>
      </c>
      <c r="L62" s="2" t="s">
        <v>95</v>
      </c>
      <c r="M62" s="7" t="s">
        <v>658</v>
      </c>
      <c r="N62" s="2" t="s">
        <v>3213</v>
      </c>
      <c r="O62" s="2"/>
      <c r="P62" s="2" t="s">
        <v>3173</v>
      </c>
      <c r="Q62" s="2" t="s">
        <v>3172</v>
      </c>
      <c r="R62" s="2" t="s">
        <v>3158</v>
      </c>
      <c r="S62" s="2" t="s">
        <v>2321</v>
      </c>
      <c r="T62" s="2" t="s">
        <v>2355</v>
      </c>
      <c r="U62" s="2" t="s">
        <v>208</v>
      </c>
      <c r="V62" s="2" t="s">
        <v>2423</v>
      </c>
      <c r="W62" s="2"/>
      <c r="Y62" t="str">
        <f>PROPER(Table1[[#This Row],[Industry]])</f>
        <v>Хранително-Вкусова Индустрия</v>
      </c>
      <c r="Z62" t="str">
        <f>PROPER(Table1[[#This Row],[Insole]])</f>
        <v>Текстил, Антибактериална Стелка, Ортопедична Стелка,Сменяема Стелка</v>
      </c>
    </row>
    <row r="63" spans="1:26" ht="12.75" customHeight="1" x14ac:dyDescent="0.2">
      <c r="A63" s="2" t="s">
        <v>693</v>
      </c>
      <c r="B63" s="2" t="s">
        <v>694</v>
      </c>
      <c r="C63" s="2" t="s">
        <v>695</v>
      </c>
      <c r="D63" s="2" t="s">
        <v>1878</v>
      </c>
      <c r="E63" s="2" t="s">
        <v>2696</v>
      </c>
      <c r="F63" s="2"/>
      <c r="G63" s="2" t="s">
        <v>567</v>
      </c>
      <c r="H63" s="2" t="s">
        <v>536</v>
      </c>
      <c r="I63" s="2" t="s">
        <v>3109</v>
      </c>
      <c r="J63" s="2" t="s">
        <v>1783</v>
      </c>
      <c r="K63" s="2" t="s">
        <v>1787</v>
      </c>
      <c r="L63" s="2" t="s">
        <v>95</v>
      </c>
      <c r="M63" s="7" t="s">
        <v>683</v>
      </c>
      <c r="N63" s="2" t="s">
        <v>3213</v>
      </c>
      <c r="O63" s="2"/>
      <c r="P63" s="2" t="s">
        <v>3173</v>
      </c>
      <c r="Q63" s="2" t="s">
        <v>3168</v>
      </c>
      <c r="R63" s="2" t="s">
        <v>3158</v>
      </c>
      <c r="S63" s="2" t="s">
        <v>2321</v>
      </c>
      <c r="T63" s="2" t="s">
        <v>2361</v>
      </c>
      <c r="U63" s="2" t="s">
        <v>49</v>
      </c>
      <c r="V63" s="2" t="s">
        <v>2424</v>
      </c>
      <c r="W63" s="2"/>
      <c r="Y63" t="str">
        <f>PROPER(Table1[[#This Row],[Industry]])</f>
        <v>Хранително-Вкусова Индустрия</v>
      </c>
      <c r="Z63" t="str">
        <f>PROPER(Table1[[#This Row],[Insole]])</f>
        <v>Текстил, Антибактериална Стелка, Ортопедична Стелка,Сменяема Стелка</v>
      </c>
    </row>
    <row r="64" spans="1:26" ht="12.75" customHeight="1" x14ac:dyDescent="0.2">
      <c r="A64" s="2" t="s">
        <v>1304</v>
      </c>
      <c r="B64" s="2" t="s">
        <v>1305</v>
      </c>
      <c r="C64" s="2" t="s">
        <v>1306</v>
      </c>
      <c r="D64" s="2" t="s">
        <v>1930</v>
      </c>
      <c r="E64" s="2" t="s">
        <v>2890</v>
      </c>
      <c r="F64" s="2"/>
      <c r="G64" s="2" t="s">
        <v>567</v>
      </c>
      <c r="H64" s="2" t="s">
        <v>536</v>
      </c>
      <c r="I64" s="2" t="s">
        <v>3126</v>
      </c>
      <c r="J64" s="2" t="s">
        <v>3192</v>
      </c>
      <c r="K64" s="2" t="s">
        <v>1787</v>
      </c>
      <c r="L64" s="2" t="s">
        <v>95</v>
      </c>
      <c r="M64" s="7" t="s">
        <v>568</v>
      </c>
      <c r="N64" s="2" t="s">
        <v>3196</v>
      </c>
      <c r="O64" s="2"/>
      <c r="P64" s="2" t="s">
        <v>3184</v>
      </c>
      <c r="Q64" s="2" t="s">
        <v>3172</v>
      </c>
      <c r="R64" s="2" t="s">
        <v>3158</v>
      </c>
      <c r="S64" s="2" t="s">
        <v>2321</v>
      </c>
      <c r="T64" s="2" t="s">
        <v>2361</v>
      </c>
      <c r="U64" s="2" t="s">
        <v>651</v>
      </c>
      <c r="V64" s="2" t="s">
        <v>2405</v>
      </c>
      <c r="W64" s="2"/>
      <c r="Y64" t="str">
        <f>PROPER(Table1[[#This Row],[Industry]])</f>
        <v>Транспорт / Склад И Логистика</v>
      </c>
      <c r="Z64" t="str">
        <f>PROPER(Table1[[#This Row],[Insole]])</f>
        <v>Текстил, Антибактериална Стелка, Ортопедична Стелка,Сменяема Стелка</v>
      </c>
    </row>
    <row r="65" spans="1:26" ht="12.75" customHeight="1" x14ac:dyDescent="0.2">
      <c r="A65" s="2" t="s">
        <v>1322</v>
      </c>
      <c r="B65" s="2" t="s">
        <v>1323</v>
      </c>
      <c r="C65" s="2" t="s">
        <v>1324</v>
      </c>
      <c r="D65" s="2" t="s">
        <v>1935</v>
      </c>
      <c r="E65" s="2" t="s">
        <v>2895</v>
      </c>
      <c r="F65" s="2"/>
      <c r="G65" s="2" t="s">
        <v>567</v>
      </c>
      <c r="H65" s="2" t="s">
        <v>536</v>
      </c>
      <c r="I65" s="2" t="s">
        <v>3150</v>
      </c>
      <c r="J65" s="2" t="s">
        <v>3192</v>
      </c>
      <c r="K65" s="2" t="s">
        <v>1787</v>
      </c>
      <c r="L65" s="2" t="s">
        <v>95</v>
      </c>
      <c r="M65" s="7" t="s">
        <v>699</v>
      </c>
      <c r="N65" s="2" t="s">
        <v>3196</v>
      </c>
      <c r="O65" s="2"/>
      <c r="P65" s="2" t="s">
        <v>3184</v>
      </c>
      <c r="Q65" s="2" t="s">
        <v>3172</v>
      </c>
      <c r="R65" s="2" t="s">
        <v>3158</v>
      </c>
      <c r="S65" s="2" t="s">
        <v>2321</v>
      </c>
      <c r="T65" s="2" t="s">
        <v>2361</v>
      </c>
      <c r="U65" s="2" t="s">
        <v>49</v>
      </c>
      <c r="V65" s="2" t="s">
        <v>2382</v>
      </c>
      <c r="W65" s="2"/>
      <c r="Y65" t="str">
        <f>PROPER(Table1[[#This Row],[Industry]])</f>
        <v>Лека Индустрия</v>
      </c>
      <c r="Z65" t="str">
        <f>PROPER(Table1[[#This Row],[Insole]])</f>
        <v>Текстил, Антибактериална Стелка, Ортопедична Стелка,Сменяема Стелка</v>
      </c>
    </row>
    <row r="66" spans="1:26" ht="12.75" customHeight="1" x14ac:dyDescent="0.2">
      <c r="A66" s="2" t="s">
        <v>715</v>
      </c>
      <c r="B66" s="2" t="s">
        <v>716</v>
      </c>
      <c r="C66" s="2" t="s">
        <v>717</v>
      </c>
      <c r="D66" s="2" t="s">
        <v>2010</v>
      </c>
      <c r="E66" s="2" t="s">
        <v>2702</v>
      </c>
      <c r="F66" s="2"/>
      <c r="G66" s="2" t="s">
        <v>567</v>
      </c>
      <c r="H66" s="2" t="s">
        <v>536</v>
      </c>
      <c r="I66" s="2" t="s">
        <v>3112</v>
      </c>
      <c r="J66" s="2" t="s">
        <v>3192</v>
      </c>
      <c r="K66" s="2" t="s">
        <v>1984</v>
      </c>
      <c r="L66" s="2" t="s">
        <v>95</v>
      </c>
      <c r="M66" s="7" t="s">
        <v>568</v>
      </c>
      <c r="N66" s="2" t="s">
        <v>3208</v>
      </c>
      <c r="O66" s="2"/>
      <c r="P66" s="2" t="s">
        <v>3173</v>
      </c>
      <c r="Q66" s="2" t="s">
        <v>3172</v>
      </c>
      <c r="R66" s="2" t="s">
        <v>3158</v>
      </c>
      <c r="S66" s="2" t="s">
        <v>2321</v>
      </c>
      <c r="T66" s="2" t="s">
        <v>2361</v>
      </c>
      <c r="U66" s="2" t="s">
        <v>208</v>
      </c>
      <c r="V66" s="2" t="s">
        <v>2370</v>
      </c>
      <c r="W66" s="2"/>
      <c r="Y66" t="str">
        <f>PROPER(Table1[[#This Row],[Industry]])</f>
        <v>Хранително-Вкусова Индустрия, Гастрономия / Кухня, Хорека</v>
      </c>
      <c r="Z66" t="str">
        <f>PROPER(Table1[[#This Row],[Insole]])</f>
        <v>Текстил, Антибактериална Стелка, Ортопедична Стелка,Сменяема Стелка</v>
      </c>
    </row>
    <row r="67" spans="1:26" ht="12.75" customHeight="1" x14ac:dyDescent="0.2">
      <c r="A67" s="2" t="s">
        <v>647</v>
      </c>
      <c r="B67" s="2" t="s">
        <v>648</v>
      </c>
      <c r="C67" s="2" t="s">
        <v>649</v>
      </c>
      <c r="D67" s="2" t="s">
        <v>2002</v>
      </c>
      <c r="E67" s="2" t="s">
        <v>2682</v>
      </c>
      <c r="F67" s="2"/>
      <c r="G67" s="2" t="s">
        <v>567</v>
      </c>
      <c r="H67" s="2" t="s">
        <v>536</v>
      </c>
      <c r="I67" s="2" t="s">
        <v>3110</v>
      </c>
      <c r="J67" s="2" t="s">
        <v>3192</v>
      </c>
      <c r="K67" s="2" t="s">
        <v>1984</v>
      </c>
      <c r="L67" s="2" t="s">
        <v>95</v>
      </c>
      <c r="M67" s="7" t="s">
        <v>650</v>
      </c>
      <c r="N67" s="2" t="s">
        <v>3213</v>
      </c>
      <c r="O67" s="2"/>
      <c r="P67" s="2" t="s">
        <v>3173</v>
      </c>
      <c r="Q67" s="2" t="s">
        <v>3172</v>
      </c>
      <c r="R67" s="2" t="s">
        <v>3158</v>
      </c>
      <c r="S67" s="2" t="s">
        <v>2321</v>
      </c>
      <c r="T67" s="2" t="s">
        <v>2361</v>
      </c>
      <c r="U67" s="2" t="s">
        <v>651</v>
      </c>
      <c r="V67" s="2" t="s">
        <v>2370</v>
      </c>
      <c r="W67" s="2"/>
      <c r="Y67" t="str">
        <f>PROPER(Table1[[#This Row],[Industry]])</f>
        <v>Гастрономия / Кухня</v>
      </c>
      <c r="Z67" t="str">
        <f>PROPER(Table1[[#This Row],[Insole]])</f>
        <v>Текстил, Антибактериална Стелка, Ортопедична Стелка,Сменяема Стелка</v>
      </c>
    </row>
    <row r="68" spans="1:26" ht="12.75" customHeight="1" x14ac:dyDescent="0.2">
      <c r="A68" s="2" t="s">
        <v>1271</v>
      </c>
      <c r="B68" s="2" t="s">
        <v>1272</v>
      </c>
      <c r="C68" s="2" t="s">
        <v>1273</v>
      </c>
      <c r="D68" s="2" t="s">
        <v>2057</v>
      </c>
      <c r="E68" s="2" t="s">
        <v>2879</v>
      </c>
      <c r="F68" s="2"/>
      <c r="G68" s="2" t="s">
        <v>567</v>
      </c>
      <c r="H68" s="2" t="s">
        <v>536</v>
      </c>
      <c r="I68" s="2" t="s">
        <v>3113</v>
      </c>
      <c r="J68" s="2" t="s">
        <v>3192</v>
      </c>
      <c r="K68" s="2" t="s">
        <v>1984</v>
      </c>
      <c r="L68" s="2" t="s">
        <v>95</v>
      </c>
      <c r="M68" s="7" t="s">
        <v>650</v>
      </c>
      <c r="N68" s="2" t="s">
        <v>3213</v>
      </c>
      <c r="O68" s="2"/>
      <c r="P68" s="2" t="s">
        <v>3173</v>
      </c>
      <c r="Q68" s="2" t="s">
        <v>3172</v>
      </c>
      <c r="R68" s="2" t="s">
        <v>3158</v>
      </c>
      <c r="S68" s="2" t="s">
        <v>2321</v>
      </c>
      <c r="T68" s="2" t="s">
        <v>2361</v>
      </c>
      <c r="U68" s="2" t="s">
        <v>651</v>
      </c>
      <c r="V68" s="2" t="s">
        <v>2370</v>
      </c>
      <c r="W68" s="2"/>
      <c r="Y68" t="str">
        <f>PROPER(Table1[[#This Row],[Industry]])</f>
        <v>Хранително-Вкусова Индустрия, Гастрономия / Кухня, Хорека, Болничен Персонал</v>
      </c>
      <c r="Z68" t="str">
        <f>PROPER(Table1[[#This Row],[Insole]])</f>
        <v>Текстил, Антибактериална Стелка, Ортопедична Стелка,Сменяема Стелка</v>
      </c>
    </row>
    <row r="69" spans="1:26" ht="12.75" customHeight="1" x14ac:dyDescent="0.2">
      <c r="A69" s="2" t="s">
        <v>652</v>
      </c>
      <c r="B69" s="2" t="s">
        <v>653</v>
      </c>
      <c r="C69" s="2" t="s">
        <v>654</v>
      </c>
      <c r="D69" s="2" t="s">
        <v>1873</v>
      </c>
      <c r="E69" s="2" t="s">
        <v>2683</v>
      </c>
      <c r="F69" s="2"/>
      <c r="G69" s="2" t="s">
        <v>567</v>
      </c>
      <c r="H69" s="2" t="s">
        <v>536</v>
      </c>
      <c r="I69" s="2" t="s">
        <v>3113</v>
      </c>
      <c r="J69" s="2" t="s">
        <v>3192</v>
      </c>
      <c r="K69" s="2" t="s">
        <v>1787</v>
      </c>
      <c r="L69" s="2" t="s">
        <v>95</v>
      </c>
      <c r="M69" s="7" t="s">
        <v>650</v>
      </c>
      <c r="N69" s="2" t="s">
        <v>3213</v>
      </c>
      <c r="O69" s="2"/>
      <c r="P69" s="2" t="s">
        <v>3173</v>
      </c>
      <c r="Q69" s="2" t="s">
        <v>3172</v>
      </c>
      <c r="R69" s="2" t="s">
        <v>3158</v>
      </c>
      <c r="S69" s="2" t="s">
        <v>2321</v>
      </c>
      <c r="T69" s="2" t="s">
        <v>2361</v>
      </c>
      <c r="U69" s="2" t="s">
        <v>651</v>
      </c>
      <c r="V69" s="2" t="s">
        <v>2370</v>
      </c>
      <c r="W69" s="2"/>
      <c r="Y69" t="str">
        <f>PROPER(Table1[[#This Row],[Industry]])</f>
        <v>Хранително-Вкусова Индустрия, Гастрономия / Кухня, Хорека, Болничен Персонал</v>
      </c>
      <c r="Z69" t="str">
        <f>PROPER(Table1[[#This Row],[Insole]])</f>
        <v>Текстил, Антибактериална Стелка, Ортопедична Стелка,Сменяема Стелка</v>
      </c>
    </row>
    <row r="70" spans="1:26" ht="12.75" customHeight="1" x14ac:dyDescent="0.2">
      <c r="A70" s="2" t="s">
        <v>1274</v>
      </c>
      <c r="B70" s="2" t="s">
        <v>1275</v>
      </c>
      <c r="C70" s="2" t="s">
        <v>1276</v>
      </c>
      <c r="D70" s="2" t="s">
        <v>1925</v>
      </c>
      <c r="E70" s="2" t="s">
        <v>2880</v>
      </c>
      <c r="F70" s="2"/>
      <c r="G70" s="2" t="s">
        <v>567</v>
      </c>
      <c r="H70" s="2" t="s">
        <v>536</v>
      </c>
      <c r="I70" s="2" t="s">
        <v>3110</v>
      </c>
      <c r="J70" s="2" t="s">
        <v>3192</v>
      </c>
      <c r="K70" s="2" t="s">
        <v>1787</v>
      </c>
      <c r="L70" s="2" t="s">
        <v>95</v>
      </c>
      <c r="M70" s="7" t="s">
        <v>650</v>
      </c>
      <c r="N70" s="2" t="s">
        <v>3213</v>
      </c>
      <c r="O70" s="2"/>
      <c r="P70" s="2" t="s">
        <v>3173</v>
      </c>
      <c r="Q70" s="2" t="s">
        <v>3172</v>
      </c>
      <c r="R70" s="2" t="s">
        <v>3158</v>
      </c>
      <c r="S70" s="2" t="s">
        <v>2321</v>
      </c>
      <c r="T70" s="2" t="s">
        <v>2361</v>
      </c>
      <c r="U70" s="2" t="s">
        <v>651</v>
      </c>
      <c r="V70" s="2" t="s">
        <v>2465</v>
      </c>
      <c r="W70" s="2"/>
      <c r="Y70" t="str">
        <f>PROPER(Table1[[#This Row],[Industry]])</f>
        <v>Гастрономия / Кухня</v>
      </c>
      <c r="Z70" t="str">
        <f>PROPER(Table1[[#This Row],[Insole]])</f>
        <v>Текстил, Антибактериална Стелка, Ортопедична Стелка,Сменяема Стелка</v>
      </c>
    </row>
    <row r="71" spans="1:26" ht="12.75" customHeight="1" x14ac:dyDescent="0.2">
      <c r="A71" s="2" t="s">
        <v>718</v>
      </c>
      <c r="B71" s="2" t="s">
        <v>719</v>
      </c>
      <c r="C71" s="2" t="s">
        <v>720</v>
      </c>
      <c r="D71" s="2" t="s">
        <v>2011</v>
      </c>
      <c r="E71" s="2" t="s">
        <v>2703</v>
      </c>
      <c r="F71" s="2"/>
      <c r="G71" s="2" t="s">
        <v>567</v>
      </c>
      <c r="H71" s="2" t="s">
        <v>536</v>
      </c>
      <c r="I71" s="2" t="s">
        <v>3110</v>
      </c>
      <c r="J71" s="2" t="s">
        <v>3192</v>
      </c>
      <c r="K71" s="2" t="s">
        <v>1984</v>
      </c>
      <c r="L71" s="2" t="s">
        <v>95</v>
      </c>
      <c r="M71" s="7" t="s">
        <v>568</v>
      </c>
      <c r="N71" s="2" t="s">
        <v>3207</v>
      </c>
      <c r="O71" s="2"/>
      <c r="P71" s="2" t="s">
        <v>3182</v>
      </c>
      <c r="Q71" s="2" t="s">
        <v>3172</v>
      </c>
      <c r="R71" s="2" t="s">
        <v>3158</v>
      </c>
      <c r="S71" s="2" t="s">
        <v>2321</v>
      </c>
      <c r="T71" s="2" t="s">
        <v>2355</v>
      </c>
      <c r="U71" s="2" t="s">
        <v>651</v>
      </c>
      <c r="V71" s="2" t="s">
        <v>2370</v>
      </c>
      <c r="W71" s="2"/>
      <c r="Y71" t="str">
        <f>PROPER(Table1[[#This Row],[Industry]])</f>
        <v>Гастрономия / Кухня</v>
      </c>
      <c r="Z71" t="str">
        <f>PROPER(Table1[[#This Row],[Insole]])</f>
        <v>Текстил, Антибактериална Стелка, Ортопедична Стелка,Сменяема Стелка</v>
      </c>
    </row>
    <row r="72" spans="1:26" ht="12.75" customHeight="1" x14ac:dyDescent="0.2">
      <c r="A72" s="2" t="s">
        <v>700</v>
      </c>
      <c r="B72" s="2" t="s">
        <v>701</v>
      </c>
      <c r="C72" s="2" t="s">
        <v>702</v>
      </c>
      <c r="D72" s="2" t="s">
        <v>2245</v>
      </c>
      <c r="E72" s="2" t="s">
        <v>2698</v>
      </c>
      <c r="F72" s="2"/>
      <c r="G72" s="2" t="s">
        <v>567</v>
      </c>
      <c r="H72" s="2" t="s">
        <v>536</v>
      </c>
      <c r="I72" s="2" t="s">
        <v>3126</v>
      </c>
      <c r="J72" s="2" t="s">
        <v>3192</v>
      </c>
      <c r="K72" s="2" t="s">
        <v>2241</v>
      </c>
      <c r="L72" s="2" t="s">
        <v>95</v>
      </c>
      <c r="M72" s="7" t="s">
        <v>699</v>
      </c>
      <c r="N72" s="2" t="s">
        <v>3196</v>
      </c>
      <c r="O72" s="2"/>
      <c r="P72" s="2" t="s">
        <v>3168</v>
      </c>
      <c r="Q72" s="2" t="s">
        <v>3172</v>
      </c>
      <c r="R72" s="2" t="s">
        <v>3158</v>
      </c>
      <c r="S72" s="2" t="s">
        <v>2321</v>
      </c>
      <c r="T72" s="2" t="s">
        <v>2361</v>
      </c>
      <c r="U72" s="2" t="s">
        <v>651</v>
      </c>
      <c r="V72" s="2" t="s">
        <v>2423</v>
      </c>
      <c r="W72" s="2"/>
      <c r="Y72" t="str">
        <f>PROPER(Table1[[#This Row],[Industry]])</f>
        <v>Транспорт / Склад И Логистика</v>
      </c>
      <c r="Z72" t="str">
        <f>PROPER(Table1[[#This Row],[Insole]])</f>
        <v>Текстил, Антибактериална Стелка, Ортопедична Стелка,Сменяема Стелка</v>
      </c>
    </row>
    <row r="73" spans="1:26" ht="12.75" customHeight="1" x14ac:dyDescent="0.2">
      <c r="A73" s="2" t="s">
        <v>696</v>
      </c>
      <c r="B73" s="2" t="s">
        <v>697</v>
      </c>
      <c r="C73" s="2" t="s">
        <v>698</v>
      </c>
      <c r="D73" s="2" t="s">
        <v>2225</v>
      </c>
      <c r="E73" s="2" t="s">
        <v>2697</v>
      </c>
      <c r="F73" s="2"/>
      <c r="G73" s="2" t="s">
        <v>567</v>
      </c>
      <c r="H73" s="2" t="s">
        <v>536</v>
      </c>
      <c r="I73" s="2" t="s">
        <v>3126</v>
      </c>
      <c r="J73" s="2" t="s">
        <v>3192</v>
      </c>
      <c r="K73" s="2" t="s">
        <v>2211</v>
      </c>
      <c r="L73" s="2" t="s">
        <v>95</v>
      </c>
      <c r="M73" s="7" t="s">
        <v>699</v>
      </c>
      <c r="N73" s="2" t="s">
        <v>3196</v>
      </c>
      <c r="O73" s="2"/>
      <c r="P73" s="2" t="s">
        <v>3168</v>
      </c>
      <c r="Q73" s="2" t="s">
        <v>3172</v>
      </c>
      <c r="R73" s="2" t="s">
        <v>3158</v>
      </c>
      <c r="S73" s="2" t="s">
        <v>2321</v>
      </c>
      <c r="T73" s="2" t="s">
        <v>2361</v>
      </c>
      <c r="U73" s="2" t="s">
        <v>49</v>
      </c>
      <c r="V73" s="2" t="s">
        <v>2423</v>
      </c>
      <c r="W73" s="2"/>
      <c r="Y73" t="str">
        <f>PROPER(Table1[[#This Row],[Industry]])</f>
        <v>Транспорт / Склад И Логистика</v>
      </c>
      <c r="Z73" t="str">
        <f>PROPER(Table1[[#This Row],[Insole]])</f>
        <v>Текстил, Антибактериална Стелка, Ортопедична Стелка,Сменяема Стелка</v>
      </c>
    </row>
    <row r="74" spans="1:26" ht="12.75" customHeight="1" x14ac:dyDescent="0.2">
      <c r="A74" s="2" t="s">
        <v>1356</v>
      </c>
      <c r="B74" s="2" t="s">
        <v>1357</v>
      </c>
      <c r="C74" s="2" t="s">
        <v>1358</v>
      </c>
      <c r="D74" s="2" t="s">
        <v>2151</v>
      </c>
      <c r="E74" s="2" t="s">
        <v>2905</v>
      </c>
      <c r="F74" s="2"/>
      <c r="G74" s="2" t="s">
        <v>1084</v>
      </c>
      <c r="H74" s="2" t="s">
        <v>536</v>
      </c>
      <c r="I74" s="2" t="s">
        <v>3119</v>
      </c>
      <c r="J74" s="2" t="s">
        <v>3191</v>
      </c>
      <c r="K74" s="2" t="s">
        <v>1984</v>
      </c>
      <c r="L74" s="2" t="s">
        <v>41</v>
      </c>
      <c r="M74" s="7" t="s">
        <v>1085</v>
      </c>
      <c r="N74" s="2"/>
      <c r="O74" s="2"/>
      <c r="P74" s="2" t="s">
        <v>3170</v>
      </c>
      <c r="Q74" s="2" t="s">
        <v>3173</v>
      </c>
      <c r="R74" s="2" t="s">
        <v>3159</v>
      </c>
      <c r="S74" s="2" t="s">
        <v>2321</v>
      </c>
      <c r="T74" s="2" t="s">
        <v>2367</v>
      </c>
      <c r="U74" s="2" t="s">
        <v>101</v>
      </c>
      <c r="V74" s="2" t="s">
        <v>2454</v>
      </c>
      <c r="W74" s="2"/>
      <c r="Y74" t="str">
        <f>PROPER(Table1[[#This Row],[Industry]])</f>
        <v>Болничен Персонал, Медицинска Индустрия, Фармацевтика</v>
      </c>
      <c r="Z74" t="str">
        <f>PROPER(Table1[[#This Row],[Insole]])</f>
        <v>Текстил, Интегрирана Стелка</v>
      </c>
    </row>
    <row r="75" spans="1:26" ht="12.75" customHeight="1" x14ac:dyDescent="0.2">
      <c r="A75" s="2" t="s">
        <v>1466</v>
      </c>
      <c r="B75" s="2" t="s">
        <v>1467</v>
      </c>
      <c r="C75" s="2" t="s">
        <v>1468</v>
      </c>
      <c r="D75" s="2" t="s">
        <v>2159</v>
      </c>
      <c r="E75" s="2" t="s">
        <v>2941</v>
      </c>
      <c r="F75" s="2"/>
      <c r="G75" s="2" t="s">
        <v>1084</v>
      </c>
      <c r="H75" s="2" t="s">
        <v>536</v>
      </c>
      <c r="I75" s="2" t="s">
        <v>3114</v>
      </c>
      <c r="J75" s="2" t="s">
        <v>3191</v>
      </c>
      <c r="K75" s="2" t="s">
        <v>1984</v>
      </c>
      <c r="L75" s="2" t="s">
        <v>41</v>
      </c>
      <c r="M75" s="7" t="s">
        <v>1085</v>
      </c>
      <c r="N75" s="2"/>
      <c r="O75" s="2"/>
      <c r="P75" s="2" t="s">
        <v>3170</v>
      </c>
      <c r="Q75" s="2" t="s">
        <v>3173</v>
      </c>
      <c r="R75" s="2" t="s">
        <v>3159</v>
      </c>
      <c r="S75" s="2" t="s">
        <v>2321</v>
      </c>
      <c r="T75" s="2" t="s">
        <v>2367</v>
      </c>
      <c r="U75" s="2" t="s">
        <v>101</v>
      </c>
      <c r="V75" s="2" t="s">
        <v>2449</v>
      </c>
      <c r="W75" s="2"/>
      <c r="Y75" t="str">
        <f>PROPER(Table1[[#This Row],[Industry]])</f>
        <v>Болничен Персонал</v>
      </c>
      <c r="Z75" t="str">
        <f>PROPER(Table1[[#This Row],[Insole]])</f>
        <v>Текстил, Интегрирана Стелка</v>
      </c>
    </row>
    <row r="76" spans="1:26" ht="12.75" customHeight="1" x14ac:dyDescent="0.2">
      <c r="A76" s="2" t="s">
        <v>1081</v>
      </c>
      <c r="B76" s="2" t="s">
        <v>1082</v>
      </c>
      <c r="C76" s="2" t="s">
        <v>1083</v>
      </c>
      <c r="D76" s="2" t="s">
        <v>2184</v>
      </c>
      <c r="E76" s="2" t="s">
        <v>2818</v>
      </c>
      <c r="F76" s="2"/>
      <c r="G76" s="2" t="s">
        <v>1084</v>
      </c>
      <c r="H76" s="2" t="s">
        <v>536</v>
      </c>
      <c r="I76" s="2" t="s">
        <v>3114</v>
      </c>
      <c r="J76" s="2" t="s">
        <v>3191</v>
      </c>
      <c r="K76" s="2" t="s">
        <v>1787</v>
      </c>
      <c r="L76" s="2" t="s">
        <v>41</v>
      </c>
      <c r="M76" s="7" t="s">
        <v>1085</v>
      </c>
      <c r="N76" s="2"/>
      <c r="O76" s="2"/>
      <c r="P76" s="2" t="s">
        <v>3170</v>
      </c>
      <c r="Q76" s="2" t="s">
        <v>3173</v>
      </c>
      <c r="R76" s="2" t="s">
        <v>3159</v>
      </c>
      <c r="S76" s="2" t="s">
        <v>2321</v>
      </c>
      <c r="T76" s="2" t="s">
        <v>2368</v>
      </c>
      <c r="U76" s="2" t="s">
        <v>101</v>
      </c>
      <c r="V76" s="2" t="s">
        <v>2454</v>
      </c>
      <c r="W76" s="2"/>
      <c r="Y76" t="str">
        <f>PROPER(Table1[[#This Row],[Industry]])</f>
        <v>Болничен Персонал</v>
      </c>
      <c r="Z76" t="str">
        <f>PROPER(Table1[[#This Row],[Insole]])</f>
        <v>Текстил, Интегрирана Стелка</v>
      </c>
    </row>
    <row r="77" spans="1:26" ht="12.75" customHeight="1" x14ac:dyDescent="0.2">
      <c r="A77" s="2" t="s">
        <v>1469</v>
      </c>
      <c r="B77" s="2" t="s">
        <v>1470</v>
      </c>
      <c r="C77" s="2" t="s">
        <v>1471</v>
      </c>
      <c r="D77" s="2" t="s">
        <v>2194</v>
      </c>
      <c r="E77" s="2" t="s">
        <v>2942</v>
      </c>
      <c r="F77" s="2"/>
      <c r="G77" s="2" t="s">
        <v>1084</v>
      </c>
      <c r="H77" s="2" t="s">
        <v>536</v>
      </c>
      <c r="I77" s="2" t="s">
        <v>3114</v>
      </c>
      <c r="J77" s="2" t="s">
        <v>3191</v>
      </c>
      <c r="K77" s="2" t="s">
        <v>1787</v>
      </c>
      <c r="L77" s="2" t="s">
        <v>41</v>
      </c>
      <c r="M77" s="7" t="s">
        <v>1085</v>
      </c>
      <c r="N77" s="2"/>
      <c r="O77" s="2"/>
      <c r="P77" s="2" t="s">
        <v>3170</v>
      </c>
      <c r="Q77" s="2" t="s">
        <v>3173</v>
      </c>
      <c r="R77" s="2" t="s">
        <v>3159</v>
      </c>
      <c r="S77" s="2" t="s">
        <v>2321</v>
      </c>
      <c r="T77" s="2" t="s">
        <v>2367</v>
      </c>
      <c r="U77" s="2" t="s">
        <v>101</v>
      </c>
      <c r="V77" s="2" t="s">
        <v>2449</v>
      </c>
      <c r="W77" s="2"/>
      <c r="Y77" t="str">
        <f>PROPER(Table1[[#This Row],[Industry]])</f>
        <v>Болничен Персонал</v>
      </c>
      <c r="Z77" t="str">
        <f>PROPER(Table1[[#This Row],[Insole]])</f>
        <v>Текстил, Интегрирана Стелка</v>
      </c>
    </row>
    <row r="78" spans="1:26" ht="12.75" customHeight="1" x14ac:dyDescent="0.2">
      <c r="A78" s="2" t="s">
        <v>1086</v>
      </c>
      <c r="B78" s="2" t="s">
        <v>1087</v>
      </c>
      <c r="C78" s="2" t="s">
        <v>1088</v>
      </c>
      <c r="D78" s="2" t="s">
        <v>2185</v>
      </c>
      <c r="E78" s="2" t="s">
        <v>2819</v>
      </c>
      <c r="F78" s="2"/>
      <c r="G78" s="2" t="s">
        <v>1084</v>
      </c>
      <c r="H78" s="2" t="s">
        <v>536</v>
      </c>
      <c r="I78" s="2" t="s">
        <v>3114</v>
      </c>
      <c r="J78" s="2" t="s">
        <v>3191</v>
      </c>
      <c r="K78" s="2" t="s">
        <v>1787</v>
      </c>
      <c r="L78" s="2" t="s">
        <v>41</v>
      </c>
      <c r="M78" s="7" t="s">
        <v>1089</v>
      </c>
      <c r="N78" s="2" t="s">
        <v>3211</v>
      </c>
      <c r="O78" s="2"/>
      <c r="P78" s="2" t="s">
        <v>3173</v>
      </c>
      <c r="Q78" s="2" t="s">
        <v>3173</v>
      </c>
      <c r="R78" s="2" t="s">
        <v>3159</v>
      </c>
      <c r="S78" s="2" t="s">
        <v>2321</v>
      </c>
      <c r="T78" s="2" t="s">
        <v>2368</v>
      </c>
      <c r="U78" s="2" t="s">
        <v>101</v>
      </c>
      <c r="V78" s="2" t="s">
        <v>2455</v>
      </c>
      <c r="W78" s="2"/>
      <c r="Y78" t="str">
        <f>PROPER(Table1[[#This Row],[Industry]])</f>
        <v>Болничен Персонал</v>
      </c>
      <c r="Z78" t="str">
        <f>PROPER(Table1[[#This Row],[Insole]])</f>
        <v>Текстил, Интегрирана Стелка</v>
      </c>
    </row>
    <row r="79" spans="1:26" ht="12.75" customHeight="1" x14ac:dyDescent="0.2">
      <c r="A79" s="2" t="s">
        <v>1090</v>
      </c>
      <c r="B79" s="2" t="s">
        <v>1091</v>
      </c>
      <c r="C79" s="2" t="s">
        <v>1092</v>
      </c>
      <c r="D79" s="2" t="s">
        <v>2148</v>
      </c>
      <c r="E79" s="2" t="s">
        <v>2820</v>
      </c>
      <c r="F79" s="2"/>
      <c r="G79" s="2" t="s">
        <v>1084</v>
      </c>
      <c r="H79" s="2" t="s">
        <v>536</v>
      </c>
      <c r="I79" s="2" t="s">
        <v>3114</v>
      </c>
      <c r="J79" s="2" t="s">
        <v>3191</v>
      </c>
      <c r="K79" s="2" t="s">
        <v>1984</v>
      </c>
      <c r="L79" s="2" t="s">
        <v>41</v>
      </c>
      <c r="M79" s="7" t="s">
        <v>1089</v>
      </c>
      <c r="N79" s="2" t="s">
        <v>3209</v>
      </c>
      <c r="O79" s="2"/>
      <c r="P79" s="2" t="s">
        <v>3173</v>
      </c>
      <c r="Q79" s="2" t="s">
        <v>3173</v>
      </c>
      <c r="R79" s="2" t="s">
        <v>3159</v>
      </c>
      <c r="S79" s="2" t="s">
        <v>2321</v>
      </c>
      <c r="T79" s="2" t="s">
        <v>2368</v>
      </c>
      <c r="U79" s="2" t="s">
        <v>101</v>
      </c>
      <c r="V79" s="2" t="s">
        <v>2456</v>
      </c>
      <c r="W79" s="2"/>
      <c r="Y79" t="str">
        <f>PROPER(Table1[[#This Row],[Industry]])</f>
        <v>Болничен Персонал</v>
      </c>
      <c r="Z79" t="str">
        <f>PROPER(Table1[[#This Row],[Insole]])</f>
        <v>Текстил, Интегрирана Стелка</v>
      </c>
    </row>
    <row r="80" spans="1:26" ht="12.75" customHeight="1" x14ac:dyDescent="0.2">
      <c r="A80" s="2" t="s">
        <v>1475</v>
      </c>
      <c r="B80" s="2" t="s">
        <v>1476</v>
      </c>
      <c r="C80" s="2" t="s">
        <v>1477</v>
      </c>
      <c r="D80" s="2" t="s">
        <v>2195</v>
      </c>
      <c r="E80" s="2" t="s">
        <v>2944</v>
      </c>
      <c r="F80" s="2"/>
      <c r="G80" s="2" t="s">
        <v>1084</v>
      </c>
      <c r="H80" s="2" t="s">
        <v>536</v>
      </c>
      <c r="I80" s="2" t="s">
        <v>3114</v>
      </c>
      <c r="J80" s="2" t="s">
        <v>3191</v>
      </c>
      <c r="K80" s="2" t="s">
        <v>1787</v>
      </c>
      <c r="L80" s="2" t="s">
        <v>41</v>
      </c>
      <c r="M80" s="7" t="s">
        <v>1089</v>
      </c>
      <c r="N80" s="2" t="s">
        <v>3209</v>
      </c>
      <c r="O80" s="2"/>
      <c r="P80" s="2" t="s">
        <v>3173</v>
      </c>
      <c r="Q80" s="2" t="s">
        <v>3173</v>
      </c>
      <c r="R80" s="2" t="s">
        <v>3159</v>
      </c>
      <c r="S80" s="2" t="s">
        <v>2321</v>
      </c>
      <c r="T80" s="2" t="s">
        <v>2368</v>
      </c>
      <c r="U80" s="2" t="s">
        <v>101</v>
      </c>
      <c r="V80" s="2" t="s">
        <v>2467</v>
      </c>
      <c r="W80" s="2"/>
      <c r="Y80" t="str">
        <f>PROPER(Table1[[#This Row],[Industry]])</f>
        <v>Болничен Персонал</v>
      </c>
      <c r="Z80" t="str">
        <f>PROPER(Table1[[#This Row],[Insole]])</f>
        <v>Текстил, Интегрирана Стелка</v>
      </c>
    </row>
    <row r="81" spans="1:26" ht="12.75" customHeight="1" x14ac:dyDescent="0.2">
      <c r="A81" s="2" t="s">
        <v>1472</v>
      </c>
      <c r="B81" s="2" t="s">
        <v>1473</v>
      </c>
      <c r="C81" s="2" t="s">
        <v>1474</v>
      </c>
      <c r="D81" s="2" t="s">
        <v>2160</v>
      </c>
      <c r="E81" s="2" t="s">
        <v>2943</v>
      </c>
      <c r="F81" s="2"/>
      <c r="G81" s="2" t="s">
        <v>1084</v>
      </c>
      <c r="H81" s="2" t="s">
        <v>536</v>
      </c>
      <c r="I81" s="2" t="s">
        <v>3114</v>
      </c>
      <c r="J81" s="2" t="s">
        <v>3191</v>
      </c>
      <c r="K81" s="2" t="s">
        <v>1984</v>
      </c>
      <c r="L81" s="2" t="s">
        <v>41</v>
      </c>
      <c r="M81" s="7" t="s">
        <v>1089</v>
      </c>
      <c r="N81" s="2" t="s">
        <v>3214</v>
      </c>
      <c r="O81" s="2"/>
      <c r="P81" s="2" t="s">
        <v>3173</v>
      </c>
      <c r="Q81" s="2" t="s">
        <v>3173</v>
      </c>
      <c r="R81" s="2" t="s">
        <v>3159</v>
      </c>
      <c r="S81" s="2" t="s">
        <v>2321</v>
      </c>
      <c r="T81" s="2" t="s">
        <v>2368</v>
      </c>
      <c r="U81" s="2" t="s">
        <v>101</v>
      </c>
      <c r="V81" s="2" t="s">
        <v>2443</v>
      </c>
      <c r="W81" s="2"/>
      <c r="Y81" t="str">
        <f>PROPER(Table1[[#This Row],[Industry]])</f>
        <v>Болничен Персонал</v>
      </c>
      <c r="Z81" t="str">
        <f>PROPER(Table1[[#This Row],[Insole]])</f>
        <v>Текстил, Интегрирана Стелка</v>
      </c>
    </row>
    <row r="82" spans="1:26" ht="12.75" customHeight="1" x14ac:dyDescent="0.2">
      <c r="A82" s="2" t="s">
        <v>1093</v>
      </c>
      <c r="B82" s="2" t="s">
        <v>1094</v>
      </c>
      <c r="C82" s="2" t="s">
        <v>1095</v>
      </c>
      <c r="D82" s="2" t="s">
        <v>2040</v>
      </c>
      <c r="E82" s="2" t="s">
        <v>2821</v>
      </c>
      <c r="F82" s="2"/>
      <c r="G82" s="2" t="s">
        <v>1084</v>
      </c>
      <c r="H82" s="2" t="s">
        <v>536</v>
      </c>
      <c r="I82" s="2" t="s">
        <v>3110</v>
      </c>
      <c r="J82" s="2" t="s">
        <v>3192</v>
      </c>
      <c r="K82" s="2" t="s">
        <v>1984</v>
      </c>
      <c r="L82" s="2" t="s">
        <v>41</v>
      </c>
      <c r="M82" s="7" t="s">
        <v>1085</v>
      </c>
      <c r="N82" s="2"/>
      <c r="O82" s="2"/>
      <c r="P82" s="2" t="s">
        <v>3170</v>
      </c>
      <c r="Q82" s="2" t="s">
        <v>3173</v>
      </c>
      <c r="R82" s="2" t="s">
        <v>3159</v>
      </c>
      <c r="S82" s="2" t="s">
        <v>2321</v>
      </c>
      <c r="T82" s="2" t="s">
        <v>2361</v>
      </c>
      <c r="U82" s="2" t="s">
        <v>101</v>
      </c>
      <c r="V82" s="2" t="s">
        <v>2457</v>
      </c>
      <c r="W82" s="2"/>
      <c r="Y82" t="str">
        <f>PROPER(Table1[[#This Row],[Industry]])</f>
        <v>Гастрономия / Кухня</v>
      </c>
      <c r="Z82" t="str">
        <f>PROPER(Table1[[#This Row],[Insole]])</f>
        <v>Текстил, Интегрирана Стелка</v>
      </c>
    </row>
    <row r="83" spans="1:26" ht="12.75" customHeight="1" x14ac:dyDescent="0.2">
      <c r="A83" s="2" t="s">
        <v>1478</v>
      </c>
      <c r="B83" s="2" t="s">
        <v>1479</v>
      </c>
      <c r="C83" s="2" t="s">
        <v>1480</v>
      </c>
      <c r="D83" s="2" t="s">
        <v>2073</v>
      </c>
      <c r="E83" s="2" t="s">
        <v>2945</v>
      </c>
      <c r="F83" s="2"/>
      <c r="G83" s="2" t="s">
        <v>1084</v>
      </c>
      <c r="H83" s="2" t="s">
        <v>536</v>
      </c>
      <c r="I83" s="2" t="s">
        <v>3119</v>
      </c>
      <c r="J83" s="2" t="s">
        <v>3192</v>
      </c>
      <c r="K83" s="2" t="s">
        <v>1984</v>
      </c>
      <c r="L83" s="2" t="s">
        <v>41</v>
      </c>
      <c r="M83" s="7" t="s">
        <v>1085</v>
      </c>
      <c r="N83" s="2"/>
      <c r="O83" s="2"/>
      <c r="P83" s="2" t="s">
        <v>3170</v>
      </c>
      <c r="Q83" s="2" t="s">
        <v>3173</v>
      </c>
      <c r="R83" s="2" t="s">
        <v>3159</v>
      </c>
      <c r="S83" s="2" t="s">
        <v>2321</v>
      </c>
      <c r="T83" s="2" t="s">
        <v>2361</v>
      </c>
      <c r="U83" s="2" t="s">
        <v>101</v>
      </c>
      <c r="V83" s="2" t="s">
        <v>2440</v>
      </c>
      <c r="W83" s="2"/>
      <c r="Y83" t="str">
        <f>PROPER(Table1[[#This Row],[Industry]])</f>
        <v>Болничен Персонал, Медицинска Индустрия, Фармацевтика</v>
      </c>
      <c r="Z83" t="str">
        <f>PROPER(Table1[[#This Row],[Insole]])</f>
        <v>Текстил, Интегрирана Стелка</v>
      </c>
    </row>
    <row r="84" spans="1:26" ht="12.75" customHeight="1" x14ac:dyDescent="0.2">
      <c r="A84" s="2" t="s">
        <v>189</v>
      </c>
      <c r="B84" s="2" t="s">
        <v>190</v>
      </c>
      <c r="C84" s="2" t="s">
        <v>191</v>
      </c>
      <c r="D84" s="2" t="s">
        <v>1808</v>
      </c>
      <c r="E84" s="2" t="s">
        <v>2553</v>
      </c>
      <c r="F84" s="2"/>
      <c r="G84" s="2" t="s">
        <v>192</v>
      </c>
      <c r="H84" s="2" t="s">
        <v>35</v>
      </c>
      <c r="I84" s="2" t="s">
        <v>3134</v>
      </c>
      <c r="J84" s="2" t="s">
        <v>1783</v>
      </c>
      <c r="K84" s="2" t="s">
        <v>1787</v>
      </c>
      <c r="L84" s="2" t="s">
        <v>95</v>
      </c>
      <c r="M84" s="7" t="s">
        <v>193</v>
      </c>
      <c r="N84" s="2" t="s">
        <v>3227</v>
      </c>
      <c r="O84" s="2"/>
      <c r="P84" s="2" t="s">
        <v>3185</v>
      </c>
      <c r="Q84" s="2" t="s">
        <v>3174</v>
      </c>
      <c r="R84" s="2" t="s">
        <v>3162</v>
      </c>
      <c r="S84" s="2" t="s">
        <v>2325</v>
      </c>
      <c r="T84" s="2" t="s">
        <v>2362</v>
      </c>
      <c r="U84" s="2" t="s">
        <v>101</v>
      </c>
      <c r="V84" s="2" t="s">
        <v>2394</v>
      </c>
      <c r="W84" s="2"/>
      <c r="Y84" t="str">
        <f>PROPER(Table1[[#This Row],[Industry]])</f>
        <v>Строителство / Довършителни Работи, Тежка Индустрия</v>
      </c>
      <c r="Z84" t="str">
        <f>PROPER(Table1[[#This Row],[Insole]])</f>
        <v>Текстил</v>
      </c>
    </row>
    <row r="85" spans="1:26" ht="12.75" customHeight="1" x14ac:dyDescent="0.2">
      <c r="A85" s="2" t="s">
        <v>194</v>
      </c>
      <c r="B85" s="2" t="s">
        <v>195</v>
      </c>
      <c r="C85" s="2" t="s">
        <v>196</v>
      </c>
      <c r="D85" s="2" t="s">
        <v>1809</v>
      </c>
      <c r="E85" s="2" t="s">
        <v>2554</v>
      </c>
      <c r="F85" s="2"/>
      <c r="G85" s="2" t="s">
        <v>192</v>
      </c>
      <c r="H85" s="2" t="s">
        <v>35</v>
      </c>
      <c r="I85" s="2" t="s">
        <v>3134</v>
      </c>
      <c r="J85" s="2" t="s">
        <v>1783</v>
      </c>
      <c r="K85" s="2" t="s">
        <v>1787</v>
      </c>
      <c r="L85" s="2" t="s">
        <v>95</v>
      </c>
      <c r="M85" s="7" t="s">
        <v>193</v>
      </c>
      <c r="N85" s="2" t="s">
        <v>3227</v>
      </c>
      <c r="O85" s="2"/>
      <c r="P85" s="2" t="s">
        <v>3185</v>
      </c>
      <c r="Q85" s="2" t="s">
        <v>3174</v>
      </c>
      <c r="R85" s="2" t="s">
        <v>3162</v>
      </c>
      <c r="S85" s="2" t="s">
        <v>2325</v>
      </c>
      <c r="T85" s="2" t="s">
        <v>2355</v>
      </c>
      <c r="U85" s="2" t="s">
        <v>101</v>
      </c>
      <c r="V85" s="2" t="s">
        <v>2394</v>
      </c>
      <c r="W85" s="2"/>
      <c r="Y85" t="str">
        <f>PROPER(Table1[[#This Row],[Industry]])</f>
        <v>Строителство / Довършителни Работи, Тежка Индустрия</v>
      </c>
      <c r="Z85" t="str">
        <f>PROPER(Table1[[#This Row],[Insole]])</f>
        <v>Текстил</v>
      </c>
    </row>
    <row r="86" spans="1:26" ht="12.75" customHeight="1" x14ac:dyDescent="0.2">
      <c r="A86" s="2" t="s">
        <v>1113</v>
      </c>
      <c r="B86" s="2" t="s">
        <v>1114</v>
      </c>
      <c r="C86" s="2" t="s">
        <v>1115</v>
      </c>
      <c r="D86" s="2" t="s">
        <v>2255</v>
      </c>
      <c r="E86" s="2" t="s">
        <v>2830</v>
      </c>
      <c r="F86" s="2"/>
      <c r="G86" s="2" t="s">
        <v>1116</v>
      </c>
      <c r="H86" s="2" t="s">
        <v>536</v>
      </c>
      <c r="I86" s="2" t="s">
        <v>3119</v>
      </c>
      <c r="J86" s="2" t="s">
        <v>2256</v>
      </c>
      <c r="K86" s="2" t="s">
        <v>1984</v>
      </c>
      <c r="L86" s="2" t="s">
        <v>41</v>
      </c>
      <c r="M86" s="7" t="s">
        <v>1117</v>
      </c>
      <c r="N86" s="2" t="s">
        <v>3215</v>
      </c>
      <c r="O86" s="2"/>
      <c r="P86" s="2" t="s">
        <v>3183</v>
      </c>
      <c r="Q86" s="2" t="s">
        <v>3176</v>
      </c>
      <c r="R86" s="2" t="s">
        <v>3124</v>
      </c>
      <c r="S86" s="2" t="s">
        <v>2314</v>
      </c>
      <c r="T86" s="2" t="s">
        <v>2367</v>
      </c>
      <c r="U86" s="2" t="s">
        <v>1118</v>
      </c>
      <c r="V86" s="2" t="s">
        <v>2458</v>
      </c>
      <c r="W86" s="2"/>
      <c r="Y86" t="str">
        <f>PROPER(Table1[[#This Row],[Industry]])</f>
        <v>Болничен Персонал, Медицинска Индустрия, Фармацевтика</v>
      </c>
      <c r="Z86" t="str">
        <f>PROPER(Table1[[#This Row],[Insole]])</f>
        <v/>
      </c>
    </row>
    <row r="87" spans="1:26" ht="12.75" customHeight="1" x14ac:dyDescent="0.2">
      <c r="A87" s="2" t="s">
        <v>1122</v>
      </c>
      <c r="B87" s="2" t="s">
        <v>1123</v>
      </c>
      <c r="C87" s="2" t="s">
        <v>1124</v>
      </c>
      <c r="D87" s="2" t="s">
        <v>2258</v>
      </c>
      <c r="E87" s="2" t="s">
        <v>2832</v>
      </c>
      <c r="F87" s="2"/>
      <c r="G87" s="2" t="s">
        <v>1116</v>
      </c>
      <c r="H87" s="2" t="s">
        <v>536</v>
      </c>
      <c r="I87" s="2" t="s">
        <v>3119</v>
      </c>
      <c r="J87" s="2" t="s">
        <v>2256</v>
      </c>
      <c r="K87" s="2" t="s">
        <v>2241</v>
      </c>
      <c r="L87" s="2" t="s">
        <v>41</v>
      </c>
      <c r="M87" s="7" t="s">
        <v>1117</v>
      </c>
      <c r="N87" s="2" t="s">
        <v>3215</v>
      </c>
      <c r="O87" s="2"/>
      <c r="P87" s="2" t="s">
        <v>3183</v>
      </c>
      <c r="Q87" s="2" t="s">
        <v>3176</v>
      </c>
      <c r="R87" s="2" t="s">
        <v>3124</v>
      </c>
      <c r="S87" s="2" t="s">
        <v>2314</v>
      </c>
      <c r="T87" s="2" t="s">
        <v>2367</v>
      </c>
      <c r="U87" s="2" t="s">
        <v>1118</v>
      </c>
      <c r="V87" s="2" t="s">
        <v>2458</v>
      </c>
      <c r="W87" s="2"/>
      <c r="Y87" t="str">
        <f>PROPER(Table1[[#This Row],[Industry]])</f>
        <v>Болничен Персонал, Медицинска Индустрия, Фармацевтика</v>
      </c>
      <c r="Z87" t="str">
        <f>PROPER(Table1[[#This Row],[Insole]])</f>
        <v/>
      </c>
    </row>
    <row r="88" spans="1:26" ht="12.75" customHeight="1" x14ac:dyDescent="0.2">
      <c r="A88" s="2" t="s">
        <v>1125</v>
      </c>
      <c r="B88" s="2" t="s">
        <v>1126</v>
      </c>
      <c r="C88" s="2" t="s">
        <v>1127</v>
      </c>
      <c r="D88" s="2" t="s">
        <v>2265</v>
      </c>
      <c r="E88" s="2" t="s">
        <v>2833</v>
      </c>
      <c r="F88" s="2"/>
      <c r="G88" s="2" t="s">
        <v>1116</v>
      </c>
      <c r="H88" s="2" t="s">
        <v>536</v>
      </c>
      <c r="I88" s="2" t="s">
        <v>3119</v>
      </c>
      <c r="J88" s="2" t="s">
        <v>2256</v>
      </c>
      <c r="K88" s="2" t="s">
        <v>2262</v>
      </c>
      <c r="L88" s="2" t="s">
        <v>41</v>
      </c>
      <c r="M88" s="7" t="s">
        <v>1117</v>
      </c>
      <c r="N88" s="2" t="s">
        <v>3215</v>
      </c>
      <c r="O88" s="2"/>
      <c r="P88" s="2" t="s">
        <v>3183</v>
      </c>
      <c r="Q88" s="2" t="s">
        <v>3176</v>
      </c>
      <c r="R88" s="2" t="s">
        <v>3124</v>
      </c>
      <c r="S88" s="2" t="s">
        <v>2314</v>
      </c>
      <c r="T88" s="2" t="s">
        <v>2367</v>
      </c>
      <c r="U88" s="2" t="s">
        <v>1118</v>
      </c>
      <c r="V88" s="2" t="s">
        <v>2458</v>
      </c>
      <c r="W88" s="2"/>
      <c r="Y88" t="str">
        <f>PROPER(Table1[[#This Row],[Industry]])</f>
        <v>Болничен Персонал, Медицинска Индустрия, Фармацевтика</v>
      </c>
      <c r="Z88" t="str">
        <f>PROPER(Table1[[#This Row],[Insole]])</f>
        <v/>
      </c>
    </row>
    <row r="89" spans="1:26" ht="12.75" customHeight="1" x14ac:dyDescent="0.2">
      <c r="A89" s="2" t="s">
        <v>1119</v>
      </c>
      <c r="B89" s="2" t="s">
        <v>1120</v>
      </c>
      <c r="C89" s="2" t="s">
        <v>1121</v>
      </c>
      <c r="D89" s="2" t="s">
        <v>2257</v>
      </c>
      <c r="E89" s="2" t="s">
        <v>2831</v>
      </c>
      <c r="F89" s="2"/>
      <c r="G89" s="2" t="s">
        <v>1116</v>
      </c>
      <c r="H89" s="2" t="s">
        <v>536</v>
      </c>
      <c r="I89" s="2" t="s">
        <v>3119</v>
      </c>
      <c r="J89" s="2" t="s">
        <v>2256</v>
      </c>
      <c r="K89" s="2" t="s">
        <v>2211</v>
      </c>
      <c r="L89" s="2" t="s">
        <v>41</v>
      </c>
      <c r="M89" s="7" t="s">
        <v>1117</v>
      </c>
      <c r="N89" s="2" t="s">
        <v>3215</v>
      </c>
      <c r="O89" s="2"/>
      <c r="P89" s="2" t="s">
        <v>3183</v>
      </c>
      <c r="Q89" s="2" t="s">
        <v>3176</v>
      </c>
      <c r="R89" s="2" t="s">
        <v>3124</v>
      </c>
      <c r="S89" s="2" t="s">
        <v>2314</v>
      </c>
      <c r="T89" s="2" t="s">
        <v>2367</v>
      </c>
      <c r="U89" s="2" t="s">
        <v>1118</v>
      </c>
      <c r="V89" s="2" t="s">
        <v>2458</v>
      </c>
      <c r="W89" s="2"/>
      <c r="Y89" t="str">
        <f>PROPER(Table1[[#This Row],[Industry]])</f>
        <v>Болничен Персонал, Медицинска Индустрия, Фармацевтика</v>
      </c>
      <c r="Z89" t="str">
        <f>PROPER(Table1[[#This Row],[Insole]])</f>
        <v/>
      </c>
    </row>
    <row r="90" spans="1:26" ht="12.75" customHeight="1" x14ac:dyDescent="0.2">
      <c r="A90" s="2" t="s">
        <v>1481</v>
      </c>
      <c r="B90" s="2" t="s">
        <v>1482</v>
      </c>
      <c r="C90" s="2" t="s">
        <v>1483</v>
      </c>
      <c r="D90" s="2" t="s">
        <v>2266</v>
      </c>
      <c r="E90" s="2" t="s">
        <v>2946</v>
      </c>
      <c r="F90" s="6" t="s">
        <v>3041</v>
      </c>
      <c r="G90" s="2" t="s">
        <v>1116</v>
      </c>
      <c r="H90" s="2" t="s">
        <v>536</v>
      </c>
      <c r="I90" s="2" t="s">
        <v>3119</v>
      </c>
      <c r="J90" s="2" t="s">
        <v>2256</v>
      </c>
      <c r="K90" s="2" t="s">
        <v>2262</v>
      </c>
      <c r="L90" s="2" t="s">
        <v>41</v>
      </c>
      <c r="M90" s="7" t="s">
        <v>1117</v>
      </c>
      <c r="N90" s="2" t="s">
        <v>3216</v>
      </c>
      <c r="O90" s="2"/>
      <c r="P90" s="2" t="s">
        <v>3183</v>
      </c>
      <c r="Q90" s="2" t="s">
        <v>3176</v>
      </c>
      <c r="R90" s="2" t="s">
        <v>3124</v>
      </c>
      <c r="S90" s="2" t="s">
        <v>2314</v>
      </c>
      <c r="T90" s="2" t="s">
        <v>2367</v>
      </c>
      <c r="U90" s="2" t="s">
        <v>1118</v>
      </c>
      <c r="V90" s="2" t="s">
        <v>2458</v>
      </c>
      <c r="W90" s="2"/>
      <c r="Y90" t="str">
        <f>PROPER(Table1[[#This Row],[Industry]])</f>
        <v>Болничен Персонал, Медицинска Индустрия, Фармацевтика</v>
      </c>
      <c r="Z90" t="str">
        <f>PROPER(Table1[[#This Row],[Insole]])</f>
        <v/>
      </c>
    </row>
    <row r="91" spans="1:26" ht="12.75" customHeight="1" x14ac:dyDescent="0.2">
      <c r="A91" s="2" t="s">
        <v>412</v>
      </c>
      <c r="B91" s="2" t="s">
        <v>413</v>
      </c>
      <c r="C91" s="2" t="s">
        <v>414</v>
      </c>
      <c r="D91" s="2" t="s">
        <v>1841</v>
      </c>
      <c r="E91" s="2" t="s">
        <v>2617</v>
      </c>
      <c r="F91" s="6" t="s">
        <v>3060</v>
      </c>
      <c r="G91" s="2" t="s">
        <v>415</v>
      </c>
      <c r="H91" s="2" t="s">
        <v>35</v>
      </c>
      <c r="I91" s="2" t="s">
        <v>3132</v>
      </c>
      <c r="J91" s="2" t="s">
        <v>1783</v>
      </c>
      <c r="K91" s="2" t="s">
        <v>1787</v>
      </c>
      <c r="L91" s="2" t="s">
        <v>409</v>
      </c>
      <c r="M91" s="7" t="s">
        <v>416</v>
      </c>
      <c r="N91" s="2" t="s">
        <v>3253</v>
      </c>
      <c r="O91" s="2" t="s">
        <v>411</v>
      </c>
      <c r="P91" s="2" t="s">
        <v>3185</v>
      </c>
      <c r="Q91" s="2" t="s">
        <v>3177</v>
      </c>
      <c r="R91" s="2" t="s">
        <v>3155</v>
      </c>
      <c r="S91" s="2" t="s">
        <v>3091</v>
      </c>
      <c r="T91" s="2" t="s">
        <v>2364</v>
      </c>
      <c r="U91" s="2" t="s">
        <v>119</v>
      </c>
      <c r="V91" s="2" t="s">
        <v>2415</v>
      </c>
      <c r="W91" s="2" t="s">
        <v>208</v>
      </c>
      <c r="Y91" t="str">
        <f>PROPER(Table1[[#This Row],[Industry]])</f>
        <v>Пожарникари И Спасители</v>
      </c>
      <c r="Z91" t="str">
        <f>PROPER(Table1[[#This Row],[Insole]])</f>
        <v>Текстил,Сменяема Стелка</v>
      </c>
    </row>
    <row r="92" spans="1:26" ht="12.75" customHeight="1" x14ac:dyDescent="0.2">
      <c r="A92" s="2" t="s">
        <v>417</v>
      </c>
      <c r="B92" s="2" t="s">
        <v>418</v>
      </c>
      <c r="C92" s="2" t="s">
        <v>419</v>
      </c>
      <c r="D92" s="2" t="s">
        <v>1842</v>
      </c>
      <c r="E92" s="2" t="s">
        <v>2618</v>
      </c>
      <c r="F92" s="2" t="s">
        <v>3060</v>
      </c>
      <c r="G92" s="2" t="s">
        <v>415</v>
      </c>
      <c r="H92" s="2" t="s">
        <v>35</v>
      </c>
      <c r="I92" s="2" t="s">
        <v>3132</v>
      </c>
      <c r="J92" s="2" t="s">
        <v>1783</v>
      </c>
      <c r="K92" s="2" t="s">
        <v>1787</v>
      </c>
      <c r="L92" s="2" t="s">
        <v>409</v>
      </c>
      <c r="M92" s="7" t="s">
        <v>420</v>
      </c>
      <c r="N92" s="2" t="s">
        <v>3253</v>
      </c>
      <c r="O92" s="2" t="s">
        <v>411</v>
      </c>
      <c r="P92" s="2" t="s">
        <v>3185</v>
      </c>
      <c r="Q92" s="2" t="s">
        <v>3177</v>
      </c>
      <c r="R92" s="2" t="s">
        <v>3155</v>
      </c>
      <c r="S92" s="2" t="s">
        <v>3096</v>
      </c>
      <c r="T92" s="2" t="s">
        <v>2364</v>
      </c>
      <c r="U92" s="2" t="s">
        <v>119</v>
      </c>
      <c r="V92" s="2" t="s">
        <v>2415</v>
      </c>
      <c r="W92" s="2" t="s">
        <v>208</v>
      </c>
      <c r="Y92" t="str">
        <f>PROPER(Table1[[#This Row],[Industry]])</f>
        <v>Пожарникари И Спасители</v>
      </c>
      <c r="Z92" t="str">
        <f>PROPER(Table1[[#This Row],[Insole]])</f>
        <v>Текстил,Сменяема Стелка</v>
      </c>
    </row>
    <row r="93" spans="1:26" ht="12.75" customHeight="1" x14ac:dyDescent="0.2">
      <c r="A93" s="2" t="s">
        <v>434</v>
      </c>
      <c r="B93" s="2" t="s">
        <v>435</v>
      </c>
      <c r="C93" s="2" t="s">
        <v>436</v>
      </c>
      <c r="D93" s="2" t="s">
        <v>1844</v>
      </c>
      <c r="E93" s="2" t="s">
        <v>2622</v>
      </c>
      <c r="F93" s="2" t="s">
        <v>3060</v>
      </c>
      <c r="G93" s="2" t="s">
        <v>415</v>
      </c>
      <c r="H93" s="2" t="s">
        <v>35</v>
      </c>
      <c r="I93" s="2" t="s">
        <v>3132</v>
      </c>
      <c r="J93" s="2" t="s">
        <v>1783</v>
      </c>
      <c r="K93" s="2" t="s">
        <v>1787</v>
      </c>
      <c r="L93" s="2" t="s">
        <v>409</v>
      </c>
      <c r="M93" s="7" t="s">
        <v>437</v>
      </c>
      <c r="N93" s="2" t="s">
        <v>3253</v>
      </c>
      <c r="O93" s="2" t="s">
        <v>438</v>
      </c>
      <c r="P93" s="2" t="s">
        <v>3185</v>
      </c>
      <c r="Q93" s="2" t="s">
        <v>3177</v>
      </c>
      <c r="R93" s="2" t="s">
        <v>3155</v>
      </c>
      <c r="S93" s="2" t="s">
        <v>3091</v>
      </c>
      <c r="T93" s="2" t="s">
        <v>2364</v>
      </c>
      <c r="U93" s="2" t="s">
        <v>208</v>
      </c>
      <c r="V93" s="2" t="s">
        <v>2418</v>
      </c>
      <c r="W93" s="2" t="s">
        <v>208</v>
      </c>
      <c r="Y93" t="str">
        <f>PROPER(Table1[[#This Row],[Industry]])</f>
        <v>Пожарникари И Спасители</v>
      </c>
      <c r="Z93" t="str">
        <f>PROPER(Table1[[#This Row],[Insole]])</f>
        <v>Текстил,Сменяема Стелка</v>
      </c>
    </row>
    <row r="94" spans="1:26" ht="12.75" customHeight="1" x14ac:dyDescent="0.2">
      <c r="A94" s="2" t="s">
        <v>532</v>
      </c>
      <c r="B94" s="2" t="s">
        <v>533</v>
      </c>
      <c r="C94" s="2" t="s">
        <v>534</v>
      </c>
      <c r="D94" s="2" t="s">
        <v>2116</v>
      </c>
      <c r="E94" s="2" t="s">
        <v>2650</v>
      </c>
      <c r="F94" s="2"/>
      <c r="G94" s="2" t="s">
        <v>535</v>
      </c>
      <c r="H94" s="2" t="s">
        <v>536</v>
      </c>
      <c r="I94" s="2" t="s">
        <v>3129</v>
      </c>
      <c r="J94" s="2" t="s">
        <v>3190</v>
      </c>
      <c r="K94" s="2" t="s">
        <v>2104</v>
      </c>
      <c r="L94" s="2" t="s">
        <v>3193</v>
      </c>
      <c r="M94" s="7" t="s">
        <v>3193</v>
      </c>
      <c r="N94" s="2" t="s">
        <v>3258</v>
      </c>
      <c r="O94" s="2"/>
      <c r="P94" s="2" t="s">
        <v>3162</v>
      </c>
      <c r="Q94" s="2" t="s">
        <v>3168</v>
      </c>
      <c r="R94" s="2" t="s">
        <v>3162</v>
      </c>
      <c r="S94" s="2" t="s">
        <v>2328</v>
      </c>
      <c r="T94" s="2" t="s">
        <v>2355</v>
      </c>
      <c r="U94" s="2" t="s">
        <v>537</v>
      </c>
      <c r="V94" s="2" t="s">
        <v>2425</v>
      </c>
      <c r="W94" s="2"/>
      <c r="Y94" t="str">
        <f>PROPER(Table1[[#This Row],[Industry]])</f>
        <v>Хорека, Транспорт / Склад И Логистика</v>
      </c>
      <c r="Z94" t="str">
        <f>PROPER(Table1[[#This Row],[Insole]])</f>
        <v>Текстил</v>
      </c>
    </row>
    <row r="95" spans="1:26" ht="12.75" customHeight="1" x14ac:dyDescent="0.2">
      <c r="A95" s="2" t="s">
        <v>1136</v>
      </c>
      <c r="B95" s="2" t="s">
        <v>1137</v>
      </c>
      <c r="C95" s="2" t="s">
        <v>1138</v>
      </c>
      <c r="D95" s="2" t="s">
        <v>2124</v>
      </c>
      <c r="E95" s="2" t="s">
        <v>2836</v>
      </c>
      <c r="F95" s="2"/>
      <c r="G95" s="2" t="s">
        <v>535</v>
      </c>
      <c r="H95" s="2" t="s">
        <v>536</v>
      </c>
      <c r="I95" s="2" t="s">
        <v>3129</v>
      </c>
      <c r="J95" s="2" t="s">
        <v>3190</v>
      </c>
      <c r="K95" s="2" t="s">
        <v>2104</v>
      </c>
      <c r="L95" s="2" t="s">
        <v>3193</v>
      </c>
      <c r="M95" s="7" t="s">
        <v>3193</v>
      </c>
      <c r="N95" s="2" t="s">
        <v>3258</v>
      </c>
      <c r="O95" s="2"/>
      <c r="P95" s="2" t="s">
        <v>3162</v>
      </c>
      <c r="Q95" s="2" t="s">
        <v>3168</v>
      </c>
      <c r="R95" s="2" t="s">
        <v>3162</v>
      </c>
      <c r="S95" s="2" t="s">
        <v>2328</v>
      </c>
      <c r="T95" s="2" t="s">
        <v>2355</v>
      </c>
      <c r="U95" s="2" t="s">
        <v>537</v>
      </c>
      <c r="V95" s="2" t="s">
        <v>2425</v>
      </c>
      <c r="W95" s="2"/>
      <c r="Y95" t="str">
        <f>PROPER(Table1[[#This Row],[Industry]])</f>
        <v>Хорека, Транспорт / Склад И Логистика</v>
      </c>
      <c r="Z95" t="str">
        <f>PROPER(Table1[[#This Row],[Insole]])</f>
        <v>Текстил</v>
      </c>
    </row>
    <row r="96" spans="1:26" ht="12.75" customHeight="1" x14ac:dyDescent="0.2">
      <c r="A96" s="2" t="s">
        <v>1205</v>
      </c>
      <c r="B96" s="2" t="s">
        <v>1206</v>
      </c>
      <c r="C96" s="2" t="s">
        <v>1207</v>
      </c>
      <c r="D96" s="2" t="s">
        <v>2125</v>
      </c>
      <c r="E96" s="2" t="s">
        <v>2858</v>
      </c>
      <c r="F96" s="2"/>
      <c r="G96" s="2" t="s">
        <v>535</v>
      </c>
      <c r="H96" s="2" t="s">
        <v>536</v>
      </c>
      <c r="I96" s="2" t="s">
        <v>3129</v>
      </c>
      <c r="J96" s="2" t="s">
        <v>3190</v>
      </c>
      <c r="K96" s="2" t="s">
        <v>2104</v>
      </c>
      <c r="L96" s="2" t="s">
        <v>3193</v>
      </c>
      <c r="M96" s="7" t="s">
        <v>3193</v>
      </c>
      <c r="N96" s="2" t="s">
        <v>3258</v>
      </c>
      <c r="O96" s="2"/>
      <c r="P96" s="2" t="s">
        <v>3162</v>
      </c>
      <c r="Q96" s="2" t="s">
        <v>3168</v>
      </c>
      <c r="R96" s="2" t="s">
        <v>3162</v>
      </c>
      <c r="S96" s="2" t="s">
        <v>2328</v>
      </c>
      <c r="T96" s="2" t="s">
        <v>2355</v>
      </c>
      <c r="U96" s="2" t="s">
        <v>1208</v>
      </c>
      <c r="V96" s="2" t="s">
        <v>2425</v>
      </c>
      <c r="W96" s="2"/>
      <c r="Y96" t="str">
        <f>PROPER(Table1[[#This Row],[Industry]])</f>
        <v>Хорека, Транспорт / Склад И Логистика</v>
      </c>
      <c r="Z96" t="str">
        <f>PROPER(Table1[[#This Row],[Insole]])</f>
        <v>Текстил</v>
      </c>
    </row>
    <row r="97" spans="1:26" ht="12.75" customHeight="1" x14ac:dyDescent="0.2">
      <c r="A97" s="2" t="s">
        <v>764</v>
      </c>
      <c r="B97" s="2" t="s">
        <v>765</v>
      </c>
      <c r="C97" s="2" t="s">
        <v>766</v>
      </c>
      <c r="D97" s="2" t="s">
        <v>1888</v>
      </c>
      <c r="E97" s="2" t="s">
        <v>2716</v>
      </c>
      <c r="F97" s="2"/>
      <c r="G97" s="2" t="s">
        <v>767</v>
      </c>
      <c r="H97" s="2" t="s">
        <v>536</v>
      </c>
      <c r="I97" s="2" t="s">
        <v>3124</v>
      </c>
      <c r="J97" s="2" t="s">
        <v>3190</v>
      </c>
      <c r="K97" s="2" t="s">
        <v>1787</v>
      </c>
      <c r="L97" s="2" t="s">
        <v>3154</v>
      </c>
      <c r="M97" s="7" t="s">
        <v>3195</v>
      </c>
      <c r="N97" s="2"/>
      <c r="O97" s="2"/>
      <c r="P97" s="2" t="s">
        <v>3170</v>
      </c>
      <c r="Q97" s="2" t="s">
        <v>3175</v>
      </c>
      <c r="R97" s="2" t="s">
        <v>3159</v>
      </c>
      <c r="S97" s="2" t="s">
        <v>2316</v>
      </c>
      <c r="T97" s="2" t="s">
        <v>2368</v>
      </c>
      <c r="U97" s="2" t="s">
        <v>557</v>
      </c>
      <c r="V97" s="2" t="s">
        <v>2442</v>
      </c>
      <c r="W97" s="2"/>
      <c r="Y97" t="str">
        <f>PROPER(Table1[[#This Row],[Industry]])</f>
        <v/>
      </c>
      <c r="Z97" t="str">
        <f>PROPER(Table1[[#This Row],[Insole]])</f>
        <v>Текстил, Интегрирана Стелка</v>
      </c>
    </row>
    <row r="98" spans="1:26" ht="12.75" customHeight="1" x14ac:dyDescent="0.2">
      <c r="A98" s="2" t="s">
        <v>768</v>
      </c>
      <c r="B98" s="2" t="s">
        <v>769</v>
      </c>
      <c r="C98" s="2" t="s">
        <v>770</v>
      </c>
      <c r="D98" s="2" t="s">
        <v>1889</v>
      </c>
      <c r="E98" s="2" t="s">
        <v>2717</v>
      </c>
      <c r="F98" s="2"/>
      <c r="G98" s="2" t="s">
        <v>767</v>
      </c>
      <c r="H98" s="2" t="s">
        <v>536</v>
      </c>
      <c r="I98" s="2" t="s">
        <v>3153</v>
      </c>
      <c r="J98" s="2" t="s">
        <v>3190</v>
      </c>
      <c r="K98" s="2" t="s">
        <v>1787</v>
      </c>
      <c r="L98" s="2" t="s">
        <v>3154</v>
      </c>
      <c r="M98" s="7" t="s">
        <v>3195</v>
      </c>
      <c r="N98" s="2"/>
      <c r="O98" s="2"/>
      <c r="P98" s="2" t="s">
        <v>3170</v>
      </c>
      <c r="Q98" s="2" t="s">
        <v>3175</v>
      </c>
      <c r="R98" s="2" t="s">
        <v>3159</v>
      </c>
      <c r="S98" s="2" t="s">
        <v>2313</v>
      </c>
      <c r="T98" s="2" t="s">
        <v>2368</v>
      </c>
      <c r="U98" s="2" t="s">
        <v>557</v>
      </c>
      <c r="V98" s="2" t="s">
        <v>2443</v>
      </c>
      <c r="W98" s="2"/>
      <c r="Y98" t="str">
        <f>PROPER(Table1[[#This Row],[Industry]])</f>
        <v>Хорека, Други</v>
      </c>
      <c r="Z98" t="str">
        <f>PROPER(Table1[[#This Row],[Insole]])</f>
        <v>Текстил, Интегрирана Стелка</v>
      </c>
    </row>
    <row r="99" spans="1:26" ht="12.75" customHeight="1" x14ac:dyDescent="0.2">
      <c r="A99" s="2" t="s">
        <v>771</v>
      </c>
      <c r="B99" s="2" t="s">
        <v>772</v>
      </c>
      <c r="C99" s="2" t="s">
        <v>773</v>
      </c>
      <c r="D99" s="2" t="s">
        <v>1890</v>
      </c>
      <c r="E99" s="2" t="s">
        <v>2718</v>
      </c>
      <c r="F99" s="2"/>
      <c r="G99" s="2" t="s">
        <v>767</v>
      </c>
      <c r="H99" s="2" t="s">
        <v>536</v>
      </c>
      <c r="I99" s="2" t="s">
        <v>3116</v>
      </c>
      <c r="J99" s="2" t="s">
        <v>3190</v>
      </c>
      <c r="K99" s="2" t="s">
        <v>1787</v>
      </c>
      <c r="L99" s="2" t="s">
        <v>3154</v>
      </c>
      <c r="M99" s="7" t="s">
        <v>3195</v>
      </c>
      <c r="N99" s="2"/>
      <c r="O99" s="2"/>
      <c r="P99" s="2" t="s">
        <v>3170</v>
      </c>
      <c r="Q99" s="2" t="s">
        <v>3175</v>
      </c>
      <c r="R99" s="2" t="s">
        <v>3159</v>
      </c>
      <c r="S99" s="2" t="s">
        <v>2313</v>
      </c>
      <c r="T99" s="2" t="s">
        <v>2355</v>
      </c>
      <c r="U99" s="2" t="s">
        <v>557</v>
      </c>
      <c r="V99" s="2" t="s">
        <v>2442</v>
      </c>
      <c r="W99" s="2"/>
      <c r="Y99" t="str">
        <f>PROPER(Table1[[#This Row],[Industry]])</f>
        <v>Хорека</v>
      </c>
      <c r="Z99" t="str">
        <f>PROPER(Table1[[#This Row],[Insole]])</f>
        <v>Текстил, Интегрирана Стелка</v>
      </c>
    </row>
    <row r="100" spans="1:26" ht="12.75" customHeight="1" x14ac:dyDescent="0.2">
      <c r="A100" s="2" t="s">
        <v>774</v>
      </c>
      <c r="B100" s="2" t="s">
        <v>775</v>
      </c>
      <c r="C100" s="2" t="s">
        <v>776</v>
      </c>
      <c r="D100" s="2" t="s">
        <v>1891</v>
      </c>
      <c r="E100" s="2" t="s">
        <v>2719</v>
      </c>
      <c r="F100" s="2"/>
      <c r="G100" s="2" t="s">
        <v>767</v>
      </c>
      <c r="H100" s="2" t="s">
        <v>536</v>
      </c>
      <c r="I100" s="2" t="s">
        <v>3116</v>
      </c>
      <c r="J100" s="2" t="s">
        <v>3190</v>
      </c>
      <c r="K100" s="2" t="s">
        <v>1787</v>
      </c>
      <c r="L100" s="2" t="s">
        <v>3154</v>
      </c>
      <c r="M100" s="7" t="s">
        <v>3195</v>
      </c>
      <c r="N100" s="2"/>
      <c r="O100" s="2"/>
      <c r="P100" s="2" t="s">
        <v>3170</v>
      </c>
      <c r="Q100" s="2" t="s">
        <v>3175</v>
      </c>
      <c r="R100" s="2" t="s">
        <v>3159</v>
      </c>
      <c r="S100" s="2" t="s">
        <v>2313</v>
      </c>
      <c r="T100" s="2" t="s">
        <v>2368</v>
      </c>
      <c r="U100" s="2" t="s">
        <v>557</v>
      </c>
      <c r="V100" s="2" t="s">
        <v>2443</v>
      </c>
      <c r="W100" s="2"/>
      <c r="Y100" t="str">
        <f>PROPER(Table1[[#This Row],[Industry]])</f>
        <v>Хорека</v>
      </c>
      <c r="Z100" t="str">
        <f>PROPER(Table1[[#This Row],[Insole]])</f>
        <v>Текстил, Интегрирана Стелка</v>
      </c>
    </row>
    <row r="101" spans="1:26" ht="12.75" customHeight="1" x14ac:dyDescent="0.2">
      <c r="A101" s="2" t="s">
        <v>1349</v>
      </c>
      <c r="B101" s="2" t="s">
        <v>1350</v>
      </c>
      <c r="C101" s="2" t="s">
        <v>1351</v>
      </c>
      <c r="D101" s="2" t="s">
        <v>1940</v>
      </c>
      <c r="E101" s="2" t="s">
        <v>2903</v>
      </c>
      <c r="F101" s="2"/>
      <c r="G101" s="2" t="s">
        <v>1337</v>
      </c>
      <c r="H101" s="2" t="s">
        <v>536</v>
      </c>
      <c r="I101" s="2" t="s">
        <v>3154</v>
      </c>
      <c r="J101" s="2" t="s">
        <v>3190</v>
      </c>
      <c r="K101" s="2" t="s">
        <v>1787</v>
      </c>
      <c r="L101" s="2" t="s">
        <v>95</v>
      </c>
      <c r="M101" s="7" t="s">
        <v>1352</v>
      </c>
      <c r="N101" s="2" t="s">
        <v>3196</v>
      </c>
      <c r="O101" s="2"/>
      <c r="P101" s="2" t="s">
        <v>3170</v>
      </c>
      <c r="Q101" s="2" t="s">
        <v>3175</v>
      </c>
      <c r="R101" s="2" t="s">
        <v>3159</v>
      </c>
      <c r="S101" s="2" t="s">
        <v>2341</v>
      </c>
      <c r="T101" s="2" t="s">
        <v>2355</v>
      </c>
      <c r="U101" s="2" t="s">
        <v>49</v>
      </c>
      <c r="V101" s="2" t="s">
        <v>2392</v>
      </c>
      <c r="W101" s="2"/>
      <c r="Y101" t="str">
        <f>PROPER(Table1[[#This Row],[Industry]])</f>
        <v>Други</v>
      </c>
      <c r="Z101" t="str">
        <f>PROPER(Table1[[#This Row],[Insole]])</f>
        <v>Текстил, Интегрирана Стелка</v>
      </c>
    </row>
    <row r="102" spans="1:26" ht="12.75" customHeight="1" x14ac:dyDescent="0.2">
      <c r="A102" s="2" t="s">
        <v>1353</v>
      </c>
      <c r="B102" s="2" t="s">
        <v>1354</v>
      </c>
      <c r="C102" s="2" t="s">
        <v>1355</v>
      </c>
      <c r="D102" s="2" t="s">
        <v>1941</v>
      </c>
      <c r="E102" s="2" t="s">
        <v>2904</v>
      </c>
      <c r="F102" s="2"/>
      <c r="G102" s="2" t="s">
        <v>1337</v>
      </c>
      <c r="H102" s="2" t="s">
        <v>536</v>
      </c>
      <c r="I102" s="2" t="s">
        <v>3154</v>
      </c>
      <c r="J102" s="2" t="s">
        <v>3190</v>
      </c>
      <c r="K102" s="2" t="s">
        <v>1787</v>
      </c>
      <c r="L102" s="2" t="s">
        <v>95</v>
      </c>
      <c r="M102" s="7" t="s">
        <v>1352</v>
      </c>
      <c r="N102" s="2" t="s">
        <v>3196</v>
      </c>
      <c r="O102" s="2"/>
      <c r="P102" s="2" t="s">
        <v>3170</v>
      </c>
      <c r="Q102" s="2" t="s">
        <v>3175</v>
      </c>
      <c r="R102" s="2" t="s">
        <v>3159</v>
      </c>
      <c r="S102" s="2" t="s">
        <v>2341</v>
      </c>
      <c r="T102" s="2" t="s">
        <v>2355</v>
      </c>
      <c r="U102" s="2" t="s">
        <v>49</v>
      </c>
      <c r="V102" s="2" t="s">
        <v>2370</v>
      </c>
      <c r="W102" s="2"/>
      <c r="Y102" t="str">
        <f>PROPER(Table1[[#This Row],[Industry]])</f>
        <v>Други</v>
      </c>
      <c r="Z102" t="str">
        <f>PROPER(Table1[[#This Row],[Insole]])</f>
        <v>Текстил, Интегрирана Стелка</v>
      </c>
    </row>
    <row r="103" spans="1:26" ht="12.75" customHeight="1" x14ac:dyDescent="0.2">
      <c r="A103" s="2" t="s">
        <v>1334</v>
      </c>
      <c r="B103" s="2" t="s">
        <v>1335</v>
      </c>
      <c r="C103" s="2" t="s">
        <v>1336</v>
      </c>
      <c r="D103" s="2" t="s">
        <v>1937</v>
      </c>
      <c r="E103" s="2" t="s">
        <v>2899</v>
      </c>
      <c r="F103" s="2"/>
      <c r="G103" s="2" t="s">
        <v>1337</v>
      </c>
      <c r="H103" s="2" t="s">
        <v>536</v>
      </c>
      <c r="I103" s="2" t="s">
        <v>3153</v>
      </c>
      <c r="J103" s="2" t="s">
        <v>3190</v>
      </c>
      <c r="K103" s="2" t="s">
        <v>1787</v>
      </c>
      <c r="L103" s="2" t="s">
        <v>41</v>
      </c>
      <c r="M103" s="7" t="s">
        <v>1338</v>
      </c>
      <c r="N103" s="2"/>
      <c r="O103" s="2"/>
      <c r="P103" s="2" t="s">
        <v>3170</v>
      </c>
      <c r="Q103" s="2" t="s">
        <v>3175</v>
      </c>
      <c r="R103" s="2" t="s">
        <v>3159</v>
      </c>
      <c r="S103" s="2" t="s">
        <v>2341</v>
      </c>
      <c r="T103" s="2" t="s">
        <v>2355</v>
      </c>
      <c r="U103" s="2" t="s">
        <v>1339</v>
      </c>
      <c r="V103" s="2" t="s">
        <v>2420</v>
      </c>
      <c r="W103" s="2"/>
      <c r="Y103" t="str">
        <f>PROPER(Table1[[#This Row],[Industry]])</f>
        <v>Хорека, Други</v>
      </c>
      <c r="Z103" t="str">
        <f>PROPER(Table1[[#This Row],[Insole]])</f>
        <v>Текстил, Интегрирана Стелка</v>
      </c>
    </row>
    <row r="104" spans="1:26" ht="12.75" customHeight="1" x14ac:dyDescent="0.2">
      <c r="A104" s="2" t="s">
        <v>1340</v>
      </c>
      <c r="B104" s="2" t="s">
        <v>1341</v>
      </c>
      <c r="C104" s="2" t="s">
        <v>1342</v>
      </c>
      <c r="D104" s="2" t="s">
        <v>1938</v>
      </c>
      <c r="E104" s="2" t="s">
        <v>2900</v>
      </c>
      <c r="F104" s="2"/>
      <c r="G104" s="2" t="s">
        <v>1337</v>
      </c>
      <c r="H104" s="2" t="s">
        <v>536</v>
      </c>
      <c r="I104" s="2" t="s">
        <v>3153</v>
      </c>
      <c r="J104" s="2" t="s">
        <v>3190</v>
      </c>
      <c r="K104" s="2" t="s">
        <v>1787</v>
      </c>
      <c r="L104" s="2" t="s">
        <v>41</v>
      </c>
      <c r="M104" s="7" t="s">
        <v>1338</v>
      </c>
      <c r="N104" s="2"/>
      <c r="O104" s="2"/>
      <c r="P104" s="2" t="s">
        <v>3170</v>
      </c>
      <c r="Q104" s="2" t="s">
        <v>3175</v>
      </c>
      <c r="R104" s="2" t="s">
        <v>3159</v>
      </c>
      <c r="S104" s="2" t="s">
        <v>2341</v>
      </c>
      <c r="T104" s="2" t="s">
        <v>2355</v>
      </c>
      <c r="U104" s="2" t="s">
        <v>1339</v>
      </c>
      <c r="V104" s="2" t="s">
        <v>2420</v>
      </c>
      <c r="W104" s="2"/>
      <c r="Y104" t="str">
        <f>PROPER(Table1[[#This Row],[Industry]])</f>
        <v>Хорека, Други</v>
      </c>
      <c r="Z104" t="str">
        <f>PROPER(Table1[[#This Row],[Insole]])</f>
        <v>Текстил, Интегрирана Стелка</v>
      </c>
    </row>
    <row r="105" spans="1:26" ht="12.75" customHeight="1" x14ac:dyDescent="0.2">
      <c r="A105" s="2" t="s">
        <v>150</v>
      </c>
      <c r="B105" s="2" t="s">
        <v>151</v>
      </c>
      <c r="C105" s="2" t="s">
        <v>152</v>
      </c>
      <c r="D105" s="2" t="s">
        <v>2275</v>
      </c>
      <c r="E105" s="2" t="s">
        <v>2544</v>
      </c>
      <c r="F105" s="2"/>
      <c r="G105" s="2" t="s">
        <v>148</v>
      </c>
      <c r="H105" s="2" t="s">
        <v>53</v>
      </c>
      <c r="I105" s="2" t="s">
        <v>3147</v>
      </c>
      <c r="J105" s="2" t="s">
        <v>3190</v>
      </c>
      <c r="K105" s="2" t="s">
        <v>1787</v>
      </c>
      <c r="L105" s="2" t="s">
        <v>41</v>
      </c>
      <c r="M105" s="7" t="s">
        <v>153</v>
      </c>
      <c r="N105" s="2" t="s">
        <v>3232</v>
      </c>
      <c r="O105" s="3" t="s">
        <v>2323</v>
      </c>
      <c r="P105" s="2" t="s">
        <v>3170</v>
      </c>
      <c r="Q105" s="2" t="s">
        <v>3177</v>
      </c>
      <c r="R105" s="2" t="s">
        <v>3163</v>
      </c>
      <c r="S105" s="2" t="s">
        <v>2336</v>
      </c>
      <c r="T105" s="2" t="s">
        <v>2355</v>
      </c>
      <c r="U105" s="2" t="s">
        <v>87</v>
      </c>
      <c r="V105" s="2" t="s">
        <v>2388</v>
      </c>
      <c r="W105" s="2"/>
      <c r="Y105" t="str">
        <f>PROPER(Table1[[#This Row],[Industry]])</f>
        <v>Охрана И Сигурност / Охрана, Тактически</v>
      </c>
      <c r="Z105" t="str">
        <f>PROPER(Table1[[#This Row],[Insole]])</f>
        <v>Текстил, Антибактериална Стелка,Сменяема Стелка</v>
      </c>
    </row>
    <row r="106" spans="1:26" ht="12.75" customHeight="1" x14ac:dyDescent="0.2">
      <c r="A106" s="2" t="s">
        <v>145</v>
      </c>
      <c r="B106" s="2" t="s">
        <v>146</v>
      </c>
      <c r="C106" s="2" t="s">
        <v>147</v>
      </c>
      <c r="D106" s="2" t="s">
        <v>2274</v>
      </c>
      <c r="E106" s="2" t="s">
        <v>2543</v>
      </c>
      <c r="F106" s="2"/>
      <c r="G106" s="2" t="s">
        <v>148</v>
      </c>
      <c r="H106" s="2" t="s">
        <v>53</v>
      </c>
      <c r="I106" s="2" t="s">
        <v>3147</v>
      </c>
      <c r="J106" s="2" t="s">
        <v>3190</v>
      </c>
      <c r="K106" s="2" t="s">
        <v>1787</v>
      </c>
      <c r="L106" s="2" t="s">
        <v>41</v>
      </c>
      <c r="M106" s="7" t="s">
        <v>149</v>
      </c>
      <c r="N106" s="2" t="s">
        <v>3232</v>
      </c>
      <c r="O106" s="3" t="s">
        <v>2323</v>
      </c>
      <c r="P106" s="2" t="s">
        <v>3170</v>
      </c>
      <c r="Q106" s="2" t="s">
        <v>3177</v>
      </c>
      <c r="R106" s="2" t="s">
        <v>3163</v>
      </c>
      <c r="S106" s="2" t="s">
        <v>2336</v>
      </c>
      <c r="T106" s="2" t="s">
        <v>2355</v>
      </c>
      <c r="U106" s="2" t="s">
        <v>49</v>
      </c>
      <c r="V106" s="2" t="s">
        <v>2388</v>
      </c>
      <c r="W106" s="2"/>
      <c r="Y106" t="str">
        <f>PROPER(Table1[[#This Row],[Industry]])</f>
        <v>Охрана И Сигурност / Охрана, Тактически</v>
      </c>
      <c r="Z106" t="str">
        <f>PROPER(Table1[[#This Row],[Insole]])</f>
        <v>Текстил, Антибактериална Стелка,Сменяема Стелка</v>
      </c>
    </row>
    <row r="107" spans="1:26" ht="12.75" customHeight="1" x14ac:dyDescent="0.2">
      <c r="A107" s="2" t="s">
        <v>157</v>
      </c>
      <c r="B107" s="2" t="s">
        <v>158</v>
      </c>
      <c r="C107" s="2" t="s">
        <v>159</v>
      </c>
      <c r="D107" s="2" t="s">
        <v>1803</v>
      </c>
      <c r="E107" s="2" t="s">
        <v>2546</v>
      </c>
      <c r="F107" s="2"/>
      <c r="G107" s="2" t="s">
        <v>148</v>
      </c>
      <c r="H107" s="2" t="s">
        <v>53</v>
      </c>
      <c r="I107" s="2" t="s">
        <v>3147</v>
      </c>
      <c r="J107" s="2" t="s">
        <v>1783</v>
      </c>
      <c r="K107" s="2" t="s">
        <v>1787</v>
      </c>
      <c r="L107" s="2" t="s">
        <v>41</v>
      </c>
      <c r="M107" s="7" t="s">
        <v>153</v>
      </c>
      <c r="N107" s="2" t="s">
        <v>3251</v>
      </c>
      <c r="O107" s="3" t="s">
        <v>2323</v>
      </c>
      <c r="P107" s="2" t="s">
        <v>3170</v>
      </c>
      <c r="Q107" s="2" t="s">
        <v>3177</v>
      </c>
      <c r="R107" s="2" t="s">
        <v>3163</v>
      </c>
      <c r="S107" s="2" t="s">
        <v>2336</v>
      </c>
      <c r="T107" s="2" t="s">
        <v>2355</v>
      </c>
      <c r="U107" s="2" t="s">
        <v>49</v>
      </c>
      <c r="V107" s="2" t="s">
        <v>2386</v>
      </c>
      <c r="W107" s="2"/>
      <c r="Y107" t="str">
        <f>PROPER(Table1[[#This Row],[Industry]])</f>
        <v>Охрана И Сигурност / Охрана, Тактически</v>
      </c>
      <c r="Z107" t="str">
        <f>PROPER(Table1[[#This Row],[Insole]])</f>
        <v>Текстил, Антибактериална Стелка,Сменяема Стелка</v>
      </c>
    </row>
    <row r="108" spans="1:26" ht="12.75" customHeight="1" x14ac:dyDescent="0.2">
      <c r="A108" s="2" t="s">
        <v>154</v>
      </c>
      <c r="B108" s="2" t="s">
        <v>155</v>
      </c>
      <c r="C108" s="2" t="s">
        <v>156</v>
      </c>
      <c r="D108" s="2" t="s">
        <v>1802</v>
      </c>
      <c r="E108" s="2" t="s">
        <v>2545</v>
      </c>
      <c r="F108" s="6" t="s">
        <v>3043</v>
      </c>
      <c r="G108" s="2" t="s">
        <v>148</v>
      </c>
      <c r="H108" s="2" t="s">
        <v>53</v>
      </c>
      <c r="I108" s="2" t="s">
        <v>3147</v>
      </c>
      <c r="J108" s="2" t="s">
        <v>1783</v>
      </c>
      <c r="K108" s="2" t="s">
        <v>1787</v>
      </c>
      <c r="L108" s="2" t="s">
        <v>41</v>
      </c>
      <c r="M108" s="7" t="s">
        <v>149</v>
      </c>
      <c r="N108" s="2" t="s">
        <v>3251</v>
      </c>
      <c r="O108" s="3" t="s">
        <v>2323</v>
      </c>
      <c r="P108" s="2" t="s">
        <v>3170</v>
      </c>
      <c r="Q108" s="2" t="s">
        <v>3177</v>
      </c>
      <c r="R108" s="2" t="s">
        <v>3163</v>
      </c>
      <c r="S108" s="2" t="s">
        <v>2336</v>
      </c>
      <c r="T108" s="2" t="s">
        <v>2355</v>
      </c>
      <c r="U108" s="2" t="s">
        <v>49</v>
      </c>
      <c r="V108" s="2" t="s">
        <v>2386</v>
      </c>
      <c r="W108" s="2"/>
      <c r="Y108" t="str">
        <f>PROPER(Table1[[#This Row],[Industry]])</f>
        <v>Охрана И Сигурност / Охрана, Тактически</v>
      </c>
      <c r="Z108" t="str">
        <f>PROPER(Table1[[#This Row],[Insole]])</f>
        <v>Текстил, Антибактериална Стелка,Сменяема Стелка</v>
      </c>
    </row>
    <row r="109" spans="1:26" ht="12.75" customHeight="1" x14ac:dyDescent="0.2">
      <c r="A109" s="2" t="s">
        <v>483</v>
      </c>
      <c r="B109" s="2" t="s">
        <v>484</v>
      </c>
      <c r="C109" s="2" t="s">
        <v>485</v>
      </c>
      <c r="D109" s="2" t="s">
        <v>1988</v>
      </c>
      <c r="E109" s="2" t="s">
        <v>2635</v>
      </c>
      <c r="F109" s="2"/>
      <c r="G109" s="2" t="s">
        <v>486</v>
      </c>
      <c r="H109" s="2" t="s">
        <v>35</v>
      </c>
      <c r="I109" s="2" t="s">
        <v>3103</v>
      </c>
      <c r="J109" s="2" t="s">
        <v>1783</v>
      </c>
      <c r="K109" s="2" t="s">
        <v>1984</v>
      </c>
      <c r="L109" s="2" t="s">
        <v>95</v>
      </c>
      <c r="M109" s="7" t="s">
        <v>48</v>
      </c>
      <c r="N109" s="2" t="s">
        <v>3255</v>
      </c>
      <c r="O109" s="3" t="s">
        <v>2322</v>
      </c>
      <c r="P109" s="2" t="s">
        <v>3181</v>
      </c>
      <c r="Q109" s="2" t="s">
        <v>3168</v>
      </c>
      <c r="R109" s="2" t="s">
        <v>3155</v>
      </c>
      <c r="S109" s="2" t="s">
        <v>2326</v>
      </c>
      <c r="T109" s="2" t="s">
        <v>2355</v>
      </c>
      <c r="U109" s="2" t="s">
        <v>49</v>
      </c>
      <c r="V109" s="2" t="s">
        <v>2388</v>
      </c>
      <c r="W109" s="2" t="s">
        <v>49</v>
      </c>
      <c r="Y109" t="str">
        <f>PROPER(Table1[[#This Row],[Industry]])</f>
        <v>Хранително-Вкусова Индустрия, Фармацевтика</v>
      </c>
      <c r="Z109" t="str">
        <f>PROPER(Table1[[#This Row],[Insole]])</f>
        <v>Текстил,Сменяема Стелка</v>
      </c>
    </row>
    <row r="110" spans="1:26" ht="12.75" customHeight="1" x14ac:dyDescent="0.2">
      <c r="A110" s="2" t="s">
        <v>581</v>
      </c>
      <c r="B110" s="2" t="s">
        <v>582</v>
      </c>
      <c r="C110" s="2" t="s">
        <v>583</v>
      </c>
      <c r="D110" s="2" t="s">
        <v>1993</v>
      </c>
      <c r="E110" s="2" t="s">
        <v>2662</v>
      </c>
      <c r="F110" s="2"/>
      <c r="G110" s="2" t="s">
        <v>541</v>
      </c>
      <c r="H110" s="2" t="s">
        <v>536</v>
      </c>
      <c r="I110" s="2" t="s">
        <v>3110</v>
      </c>
      <c r="J110" s="2" t="s">
        <v>3190</v>
      </c>
      <c r="K110" s="2" t="s">
        <v>1984</v>
      </c>
      <c r="L110" s="2" t="s">
        <v>95</v>
      </c>
      <c r="M110" s="7" t="s">
        <v>584</v>
      </c>
      <c r="N110" s="2" t="s">
        <v>3196</v>
      </c>
      <c r="O110" s="2"/>
      <c r="P110" s="2" t="s">
        <v>3170</v>
      </c>
      <c r="Q110" s="2" t="s">
        <v>3175</v>
      </c>
      <c r="R110" s="2" t="s">
        <v>3159</v>
      </c>
      <c r="S110" s="2" t="s">
        <v>2346</v>
      </c>
      <c r="T110" s="2" t="s">
        <v>2367</v>
      </c>
      <c r="U110" s="2" t="s">
        <v>543</v>
      </c>
      <c r="V110" s="2" t="s">
        <v>2429</v>
      </c>
      <c r="W110" s="2"/>
      <c r="Y110" t="str">
        <f>PROPER(Table1[[#This Row],[Industry]])</f>
        <v>Гастрономия / Кухня</v>
      </c>
      <c r="Z110" t="str">
        <f>PROPER(Table1[[#This Row],[Insole]])</f>
        <v>Текстил, Интегрирана Стелка</v>
      </c>
    </row>
    <row r="111" spans="1:26" ht="12.75" customHeight="1" x14ac:dyDescent="0.2">
      <c r="A111" s="2" t="s">
        <v>538</v>
      </c>
      <c r="B111" s="2" t="s">
        <v>539</v>
      </c>
      <c r="C111" s="2" t="s">
        <v>540</v>
      </c>
      <c r="D111" s="2" t="s">
        <v>1989</v>
      </c>
      <c r="E111" s="2" t="s">
        <v>2651</v>
      </c>
      <c r="F111" s="2"/>
      <c r="G111" s="2" t="s">
        <v>541</v>
      </c>
      <c r="H111" s="2" t="s">
        <v>536</v>
      </c>
      <c r="I111" s="2" t="s">
        <v>3112</v>
      </c>
      <c r="J111" s="2" t="s">
        <v>3192</v>
      </c>
      <c r="K111" s="2" t="s">
        <v>1984</v>
      </c>
      <c r="L111" s="2" t="s">
        <v>95</v>
      </c>
      <c r="M111" s="7" t="s">
        <v>542</v>
      </c>
      <c r="N111" s="2" t="s">
        <v>3196</v>
      </c>
      <c r="O111" s="2"/>
      <c r="P111" s="2" t="s">
        <v>3170</v>
      </c>
      <c r="Q111" s="2" t="s">
        <v>3173</v>
      </c>
      <c r="R111" s="2" t="s">
        <v>3160</v>
      </c>
      <c r="S111" s="2" t="s">
        <v>2346</v>
      </c>
      <c r="T111" s="2" t="s">
        <v>2367</v>
      </c>
      <c r="U111" s="2" t="s">
        <v>543</v>
      </c>
      <c r="V111" s="2" t="s">
        <v>2412</v>
      </c>
      <c r="W111" s="2"/>
      <c r="Y111" t="str">
        <f>PROPER(Table1[[#This Row],[Industry]])</f>
        <v>Хранително-Вкусова Индустрия, Гастрономия / Кухня, Хорека</v>
      </c>
      <c r="Z111" t="str">
        <f>PROPER(Table1[[#This Row],[Insole]])</f>
        <v>Кожа/Текстил, Интегрирана Стелка</v>
      </c>
    </row>
    <row r="112" spans="1:26" ht="12.75" customHeight="1" x14ac:dyDescent="0.2">
      <c r="A112" s="2" t="s">
        <v>1215</v>
      </c>
      <c r="B112" s="2" t="s">
        <v>1216</v>
      </c>
      <c r="C112" s="2" t="s">
        <v>1217</v>
      </c>
      <c r="D112" s="2" t="s">
        <v>2050</v>
      </c>
      <c r="E112" s="2" t="s">
        <v>2861</v>
      </c>
      <c r="F112" s="2"/>
      <c r="G112" s="2" t="s">
        <v>541</v>
      </c>
      <c r="H112" s="2" t="s">
        <v>536</v>
      </c>
      <c r="I112" s="2" t="s">
        <v>3110</v>
      </c>
      <c r="J112" s="2" t="s">
        <v>3192</v>
      </c>
      <c r="K112" s="2" t="s">
        <v>1984</v>
      </c>
      <c r="L112" s="2" t="s">
        <v>95</v>
      </c>
      <c r="M112" s="7" t="s">
        <v>542</v>
      </c>
      <c r="N112" s="2" t="s">
        <v>3196</v>
      </c>
      <c r="O112" s="2"/>
      <c r="P112" s="2" t="s">
        <v>3170</v>
      </c>
      <c r="Q112" s="2" t="s">
        <v>3175</v>
      </c>
      <c r="R112" s="2" t="s">
        <v>3159</v>
      </c>
      <c r="S112" s="2" t="s">
        <v>2346</v>
      </c>
      <c r="T112" s="2" t="s">
        <v>2367</v>
      </c>
      <c r="U112" s="2" t="s">
        <v>543</v>
      </c>
      <c r="V112" s="2" t="s">
        <v>2412</v>
      </c>
      <c r="W112" s="2"/>
      <c r="Y112" t="str">
        <f>PROPER(Table1[[#This Row],[Industry]])</f>
        <v>Гастрономия / Кухня</v>
      </c>
      <c r="Z112" t="str">
        <f>PROPER(Table1[[#This Row],[Insole]])</f>
        <v>Текстил, Интегрирана Стелка</v>
      </c>
    </row>
    <row r="113" spans="1:26" ht="12.75" customHeight="1" x14ac:dyDescent="0.2">
      <c r="A113" s="2" t="s">
        <v>547</v>
      </c>
      <c r="B113" s="2" t="s">
        <v>548</v>
      </c>
      <c r="C113" s="2" t="s">
        <v>549</v>
      </c>
      <c r="D113" s="2" t="s">
        <v>1860</v>
      </c>
      <c r="E113" s="2" t="s">
        <v>2653</v>
      </c>
      <c r="F113" s="2"/>
      <c r="G113" s="2" t="s">
        <v>541</v>
      </c>
      <c r="H113" s="2" t="s">
        <v>536</v>
      </c>
      <c r="I113" s="2" t="s">
        <v>3110</v>
      </c>
      <c r="J113" s="2" t="s">
        <v>3192</v>
      </c>
      <c r="K113" s="2" t="s">
        <v>1787</v>
      </c>
      <c r="L113" s="2" t="s">
        <v>95</v>
      </c>
      <c r="M113" s="7" t="s">
        <v>542</v>
      </c>
      <c r="N113" s="2" t="s">
        <v>3196</v>
      </c>
      <c r="O113" s="2"/>
      <c r="P113" s="2" t="s">
        <v>3170</v>
      </c>
      <c r="Q113" s="2" t="s">
        <v>3175</v>
      </c>
      <c r="R113" s="2" t="s">
        <v>3159</v>
      </c>
      <c r="S113" s="2" t="s">
        <v>2346</v>
      </c>
      <c r="T113" s="2" t="s">
        <v>2367</v>
      </c>
      <c r="U113" s="2" t="s">
        <v>543</v>
      </c>
      <c r="V113" s="2" t="s">
        <v>2412</v>
      </c>
      <c r="W113" s="2"/>
      <c r="Y113" t="str">
        <f>PROPER(Table1[[#This Row],[Industry]])</f>
        <v>Гастрономия / Кухня</v>
      </c>
      <c r="Z113" t="str">
        <f>PROPER(Table1[[#This Row],[Insole]])</f>
        <v>Текстил, Интегрирана Стелка</v>
      </c>
    </row>
    <row r="114" spans="1:26" ht="12.75" customHeight="1" x14ac:dyDescent="0.2">
      <c r="A114" s="2" t="s">
        <v>1218</v>
      </c>
      <c r="B114" s="2" t="s">
        <v>1219</v>
      </c>
      <c r="C114" s="2" t="s">
        <v>1220</v>
      </c>
      <c r="D114" s="2" t="s">
        <v>1918</v>
      </c>
      <c r="E114" s="2" t="s">
        <v>2862</v>
      </c>
      <c r="F114" s="2"/>
      <c r="G114" s="2" t="s">
        <v>541</v>
      </c>
      <c r="H114" s="2" t="s">
        <v>536</v>
      </c>
      <c r="I114" s="2" t="s">
        <v>3110</v>
      </c>
      <c r="J114" s="2" t="s">
        <v>3192</v>
      </c>
      <c r="K114" s="2" t="s">
        <v>1787</v>
      </c>
      <c r="L114" s="2" t="s">
        <v>95</v>
      </c>
      <c r="M114" s="7" t="s">
        <v>542</v>
      </c>
      <c r="N114" s="2" t="s">
        <v>3196</v>
      </c>
      <c r="O114" s="2"/>
      <c r="P114" s="2" t="s">
        <v>3170</v>
      </c>
      <c r="Q114" s="2" t="s">
        <v>3175</v>
      </c>
      <c r="R114" s="2" t="s">
        <v>3159</v>
      </c>
      <c r="S114" s="2" t="s">
        <v>2346</v>
      </c>
      <c r="T114" s="2" t="s">
        <v>2367</v>
      </c>
      <c r="U114" s="2" t="s">
        <v>543</v>
      </c>
      <c r="V114" s="2" t="s">
        <v>2370</v>
      </c>
      <c r="W114" s="2"/>
      <c r="Y114" t="str">
        <f>PROPER(Table1[[#This Row],[Industry]])</f>
        <v>Гастрономия / Кухня</v>
      </c>
      <c r="Z114" t="str">
        <f>PROPER(Table1[[#This Row],[Insole]])</f>
        <v>Текстил, Интегрирана Стелка</v>
      </c>
    </row>
    <row r="115" spans="1:26" ht="12.75" customHeight="1" x14ac:dyDescent="0.2">
      <c r="A115" s="2" t="s">
        <v>544</v>
      </c>
      <c r="B115" s="2" t="s">
        <v>545</v>
      </c>
      <c r="C115" s="2" t="s">
        <v>546</v>
      </c>
      <c r="D115" s="2" t="s">
        <v>1990</v>
      </c>
      <c r="E115" s="2" t="s">
        <v>2652</v>
      </c>
      <c r="F115" s="2"/>
      <c r="G115" s="2" t="s">
        <v>541</v>
      </c>
      <c r="H115" s="2" t="s">
        <v>536</v>
      </c>
      <c r="I115" s="2" t="s">
        <v>3110</v>
      </c>
      <c r="J115" s="2" t="s">
        <v>3192</v>
      </c>
      <c r="K115" s="2" t="s">
        <v>1984</v>
      </c>
      <c r="L115" s="2" t="s">
        <v>95</v>
      </c>
      <c r="M115" s="7" t="s">
        <v>542</v>
      </c>
      <c r="N115" s="2" t="s">
        <v>3213</v>
      </c>
      <c r="O115" s="2"/>
      <c r="P115" s="2" t="s">
        <v>3173</v>
      </c>
      <c r="Q115" s="2" t="s">
        <v>3173</v>
      </c>
      <c r="R115" s="2" t="s">
        <v>3159</v>
      </c>
      <c r="S115" s="2" t="s">
        <v>2346</v>
      </c>
      <c r="T115" s="2" t="s">
        <v>2367</v>
      </c>
      <c r="U115" s="2" t="s">
        <v>543</v>
      </c>
      <c r="V115" s="2" t="s">
        <v>2426</v>
      </c>
      <c r="W115" s="2"/>
      <c r="Y115" t="str">
        <f>PROPER(Table1[[#This Row],[Industry]])</f>
        <v>Гастрономия / Кухня</v>
      </c>
      <c r="Z115" t="str">
        <f>PROPER(Table1[[#This Row],[Insole]])</f>
        <v>Текстил, Интегрирана Стелка</v>
      </c>
    </row>
    <row r="116" spans="1:26" ht="12.75" customHeight="1" x14ac:dyDescent="0.2">
      <c r="A116" s="2" t="s">
        <v>550</v>
      </c>
      <c r="B116" s="2" t="s">
        <v>551</v>
      </c>
      <c r="C116" s="2" t="s">
        <v>552</v>
      </c>
      <c r="D116" s="2" t="s">
        <v>1861</v>
      </c>
      <c r="E116" s="2" t="s">
        <v>2654</v>
      </c>
      <c r="F116" s="2"/>
      <c r="G116" s="2" t="s">
        <v>541</v>
      </c>
      <c r="H116" s="2" t="s">
        <v>536</v>
      </c>
      <c r="I116" s="2" t="s">
        <v>3110</v>
      </c>
      <c r="J116" s="2" t="s">
        <v>3192</v>
      </c>
      <c r="K116" s="2" t="s">
        <v>1787</v>
      </c>
      <c r="L116" s="2" t="s">
        <v>95</v>
      </c>
      <c r="M116" s="7" t="s">
        <v>542</v>
      </c>
      <c r="N116" s="2" t="s">
        <v>3213</v>
      </c>
      <c r="O116" s="2"/>
      <c r="P116" s="2" t="s">
        <v>3173</v>
      </c>
      <c r="Q116" s="2" t="s">
        <v>3173</v>
      </c>
      <c r="R116" s="2" t="s">
        <v>3159</v>
      </c>
      <c r="S116" s="2" t="s">
        <v>2346</v>
      </c>
      <c r="T116" s="2" t="s">
        <v>2367</v>
      </c>
      <c r="U116" s="2" t="s">
        <v>543</v>
      </c>
      <c r="V116" s="2" t="s">
        <v>2426</v>
      </c>
      <c r="W116" s="2"/>
      <c r="Y116" t="str">
        <f>PROPER(Table1[[#This Row],[Industry]])</f>
        <v>Гастрономия / Кухня</v>
      </c>
      <c r="Z116" t="str">
        <f>PROPER(Table1[[#This Row],[Insole]])</f>
        <v>Текстил, Интегрирана Стелка</v>
      </c>
    </row>
    <row r="117" spans="1:26" ht="12.75" customHeight="1" x14ac:dyDescent="0.2">
      <c r="A117" s="2" t="s">
        <v>756</v>
      </c>
      <c r="B117" s="2" t="s">
        <v>757</v>
      </c>
      <c r="C117" s="2" t="s">
        <v>758</v>
      </c>
      <c r="D117" s="2" t="s">
        <v>2013</v>
      </c>
      <c r="E117" s="2" t="s">
        <v>2714</v>
      </c>
      <c r="F117" s="2"/>
      <c r="G117" s="2" t="s">
        <v>759</v>
      </c>
      <c r="H117" s="2" t="s">
        <v>536</v>
      </c>
      <c r="I117" s="2" t="s">
        <v>3119</v>
      </c>
      <c r="J117" s="2" t="s">
        <v>1783</v>
      </c>
      <c r="K117" s="2" t="s">
        <v>1984</v>
      </c>
      <c r="L117" s="2" t="s">
        <v>41</v>
      </c>
      <c r="M117" s="7" t="s">
        <v>707</v>
      </c>
      <c r="N117" s="2"/>
      <c r="O117" s="2"/>
      <c r="P117" s="2" t="s">
        <v>3173</v>
      </c>
      <c r="Q117" s="2" t="s">
        <v>3124</v>
      </c>
      <c r="R117" s="2" t="s">
        <v>3159</v>
      </c>
      <c r="S117" s="2" t="s">
        <v>2346</v>
      </c>
      <c r="T117" s="2" t="s">
        <v>2357</v>
      </c>
      <c r="U117" s="2" t="s">
        <v>537</v>
      </c>
      <c r="V117" s="2" t="s">
        <v>2440</v>
      </c>
      <c r="W117" s="2"/>
      <c r="Y117" t="str">
        <f>PROPER(Table1[[#This Row],[Industry]])</f>
        <v>Болничен Персонал, Медицинска Индустрия, Фармацевтика</v>
      </c>
      <c r="Z117" t="str">
        <f>PROPER(Table1[[#This Row],[Insole]])</f>
        <v>Текстил, Интегрирана Стелка</v>
      </c>
    </row>
    <row r="118" spans="1:26" ht="12.75" customHeight="1" x14ac:dyDescent="0.2">
      <c r="A118" s="2" t="s">
        <v>760</v>
      </c>
      <c r="B118" s="2" t="s">
        <v>761</v>
      </c>
      <c r="C118" s="2" t="s">
        <v>762</v>
      </c>
      <c r="D118" s="2" t="s">
        <v>2251</v>
      </c>
      <c r="E118" s="2" t="s">
        <v>2715</v>
      </c>
      <c r="F118" s="2"/>
      <c r="G118" s="2" t="s">
        <v>759</v>
      </c>
      <c r="H118" s="2" t="s">
        <v>536</v>
      </c>
      <c r="I118" s="2" t="s">
        <v>3119</v>
      </c>
      <c r="J118" s="2" t="s">
        <v>3340</v>
      </c>
      <c r="K118" s="2" t="s">
        <v>2211</v>
      </c>
      <c r="L118" s="2" t="s">
        <v>3154</v>
      </c>
      <c r="M118" s="7" t="s">
        <v>3195</v>
      </c>
      <c r="N118" s="2" t="s">
        <v>3217</v>
      </c>
      <c r="O118" s="2"/>
      <c r="P118" s="2" t="s">
        <v>3162</v>
      </c>
      <c r="Q118" s="2" t="s">
        <v>3124</v>
      </c>
      <c r="R118" s="2" t="s">
        <v>3124</v>
      </c>
      <c r="S118" s="2" t="s">
        <v>2316</v>
      </c>
      <c r="T118" s="2" t="s">
        <v>2368</v>
      </c>
      <c r="U118" s="2" t="s">
        <v>763</v>
      </c>
      <c r="V118" s="2" t="s">
        <v>2441</v>
      </c>
      <c r="W118" s="2"/>
      <c r="Y118" t="str">
        <f>PROPER(Table1[[#This Row],[Industry]])</f>
        <v>Болничен Персонал, Медицинска Индустрия, Фармацевтика</v>
      </c>
      <c r="Z118" t="str">
        <f>PROPER(Table1[[#This Row],[Insole]])</f>
        <v/>
      </c>
    </row>
    <row r="119" spans="1:26" ht="12.75" customHeight="1" x14ac:dyDescent="0.2">
      <c r="A119" s="2" t="s">
        <v>137</v>
      </c>
      <c r="B119" s="2" t="s">
        <v>138</v>
      </c>
      <c r="C119" s="2" t="s">
        <v>139</v>
      </c>
      <c r="D119" s="2" t="s">
        <v>2271</v>
      </c>
      <c r="E119" s="2" t="s">
        <v>2541</v>
      </c>
      <c r="F119" s="6" t="s">
        <v>3050</v>
      </c>
      <c r="G119" s="2" t="s">
        <v>140</v>
      </c>
      <c r="H119" s="2" t="s">
        <v>35</v>
      </c>
      <c r="I119" s="2" t="s">
        <v>3097</v>
      </c>
      <c r="J119" s="2" t="s">
        <v>3190</v>
      </c>
      <c r="K119" s="2" t="s">
        <v>2309</v>
      </c>
      <c r="L119" s="2" t="s">
        <v>95</v>
      </c>
      <c r="M119" s="7" t="s">
        <v>141</v>
      </c>
      <c r="N119" s="2" t="s">
        <v>3313</v>
      </c>
      <c r="O119" s="3" t="s">
        <v>3314</v>
      </c>
      <c r="P119" s="2" t="s">
        <v>3179</v>
      </c>
      <c r="Q119" s="2" t="s">
        <v>3168</v>
      </c>
      <c r="R119" s="2" t="s">
        <v>3155</v>
      </c>
      <c r="S119" s="2" t="s">
        <v>3093</v>
      </c>
      <c r="T119" s="2" t="s">
        <v>2355</v>
      </c>
      <c r="U119" s="2" t="s">
        <v>118</v>
      </c>
      <c r="V119" s="2" t="s">
        <v>2384</v>
      </c>
      <c r="W119" s="2"/>
      <c r="Y119" t="str">
        <f>PROPER(Table1[[#This Row],[Industry]])</f>
        <v>Строителство / Довършителни Работи, Лека Индустрия</v>
      </c>
      <c r="Z119" t="str">
        <f>PROPER(Table1[[#This Row],[Insole]])</f>
        <v>Текстил,Сменяема Стелка</v>
      </c>
    </row>
    <row r="120" spans="1:26" ht="12.75" customHeight="1" x14ac:dyDescent="0.2">
      <c r="A120" s="2" t="s">
        <v>353</v>
      </c>
      <c r="B120" s="2" t="s">
        <v>354</v>
      </c>
      <c r="C120" s="2" t="s">
        <v>355</v>
      </c>
      <c r="D120" s="2" t="s">
        <v>2110</v>
      </c>
      <c r="E120" s="2" t="s">
        <v>2600</v>
      </c>
      <c r="F120" s="6" t="s">
        <v>3050</v>
      </c>
      <c r="G120" s="2" t="s">
        <v>140</v>
      </c>
      <c r="H120" s="2" t="s">
        <v>35</v>
      </c>
      <c r="I120" s="2" t="s">
        <v>3097</v>
      </c>
      <c r="J120" s="2" t="s">
        <v>3190</v>
      </c>
      <c r="K120" s="2" t="s">
        <v>2104</v>
      </c>
      <c r="L120" s="2" t="s">
        <v>95</v>
      </c>
      <c r="M120" s="7" t="s">
        <v>141</v>
      </c>
      <c r="N120" s="2" t="s">
        <v>3313</v>
      </c>
      <c r="O120" s="3" t="s">
        <v>3315</v>
      </c>
      <c r="P120" s="2" t="s">
        <v>3179</v>
      </c>
      <c r="Q120" s="2" t="s">
        <v>3168</v>
      </c>
      <c r="R120" s="2" t="s">
        <v>3155</v>
      </c>
      <c r="S120" s="2" t="s">
        <v>3093</v>
      </c>
      <c r="T120" s="2" t="s">
        <v>2355</v>
      </c>
      <c r="U120" s="2" t="s">
        <v>118</v>
      </c>
      <c r="V120" s="2" t="s">
        <v>2384</v>
      </c>
      <c r="W120" s="2"/>
      <c r="Y120" t="str">
        <f>PROPER(Table1[[#This Row],[Industry]])</f>
        <v>Строителство / Довършителни Работи, Лека Индустрия</v>
      </c>
      <c r="Z120" t="str">
        <f>PROPER(Table1[[#This Row],[Insole]])</f>
        <v>Текстил,Сменяема Стелка</v>
      </c>
    </row>
    <row r="121" spans="1:26" ht="12.75" customHeight="1" x14ac:dyDescent="0.2">
      <c r="A121" s="2" t="s">
        <v>197</v>
      </c>
      <c r="B121" s="2" t="s">
        <v>198</v>
      </c>
      <c r="C121" s="2" t="s">
        <v>199</v>
      </c>
      <c r="D121" s="2" t="s">
        <v>1810</v>
      </c>
      <c r="E121" s="2" t="s">
        <v>2555</v>
      </c>
      <c r="F121" s="6" t="s">
        <v>3050</v>
      </c>
      <c r="G121" s="2" t="s">
        <v>140</v>
      </c>
      <c r="H121" s="2" t="s">
        <v>35</v>
      </c>
      <c r="I121" s="2" t="s">
        <v>3097</v>
      </c>
      <c r="J121" s="2" t="s">
        <v>3190</v>
      </c>
      <c r="K121" s="2" t="s">
        <v>1787</v>
      </c>
      <c r="L121" s="2" t="s">
        <v>95</v>
      </c>
      <c r="M121" s="7" t="s">
        <v>141</v>
      </c>
      <c r="N121" s="2" t="s">
        <v>3270</v>
      </c>
      <c r="O121" s="3" t="s">
        <v>3271</v>
      </c>
      <c r="P121" s="2" t="s">
        <v>3170</v>
      </c>
      <c r="Q121" s="2" t="s">
        <v>3168</v>
      </c>
      <c r="R121" s="2" t="s">
        <v>3155</v>
      </c>
      <c r="S121" s="2" t="s">
        <v>3093</v>
      </c>
      <c r="T121" s="2" t="s">
        <v>2355</v>
      </c>
      <c r="U121" s="2" t="s">
        <v>118</v>
      </c>
      <c r="V121" s="2" t="s">
        <v>2395</v>
      </c>
      <c r="W121" s="2"/>
      <c r="Y121" t="str">
        <f>PROPER(Table1[[#This Row],[Industry]])</f>
        <v>Строителство / Довършителни Работи, Лека Индустрия</v>
      </c>
      <c r="Z121" t="str">
        <f>PROPER(Table1[[#This Row],[Insole]])</f>
        <v>Текстил,Сменяема Стелка</v>
      </c>
    </row>
    <row r="122" spans="1:26" ht="12.75" customHeight="1" x14ac:dyDescent="0.2">
      <c r="A122" s="2" t="s">
        <v>200</v>
      </c>
      <c r="B122" s="2" t="s">
        <v>201</v>
      </c>
      <c r="C122" s="2" t="s">
        <v>202</v>
      </c>
      <c r="D122" s="2" t="s">
        <v>1811</v>
      </c>
      <c r="E122" s="2" t="s">
        <v>2556</v>
      </c>
      <c r="F122" s="6" t="s">
        <v>3050</v>
      </c>
      <c r="G122" s="2" t="s">
        <v>140</v>
      </c>
      <c r="H122" s="2" t="s">
        <v>35</v>
      </c>
      <c r="I122" s="2" t="s">
        <v>3137</v>
      </c>
      <c r="J122" s="2" t="s">
        <v>1783</v>
      </c>
      <c r="K122" s="2" t="s">
        <v>1787</v>
      </c>
      <c r="L122" s="2" t="s">
        <v>95</v>
      </c>
      <c r="M122" s="7" t="s">
        <v>141</v>
      </c>
      <c r="N122" s="2" t="s">
        <v>3272</v>
      </c>
      <c r="O122" s="3" t="s">
        <v>3273</v>
      </c>
      <c r="P122" s="2" t="s">
        <v>3170</v>
      </c>
      <c r="Q122" s="2" t="s">
        <v>3168</v>
      </c>
      <c r="R122" s="2" t="s">
        <v>3155</v>
      </c>
      <c r="S122" s="2" t="s">
        <v>3093</v>
      </c>
      <c r="T122" s="2" t="s">
        <v>2355</v>
      </c>
      <c r="U122" s="2" t="s">
        <v>118</v>
      </c>
      <c r="V122" s="2" t="s">
        <v>2396</v>
      </c>
      <c r="W122" s="2"/>
      <c r="Y122" t="str">
        <f>PROPER(Table1[[#This Row],[Industry]])</f>
        <v>Строителство / Довършителни Работи</v>
      </c>
      <c r="Z122" t="str">
        <f>PROPER(Table1[[#This Row],[Insole]])</f>
        <v>Текстил,Сменяема Стелка</v>
      </c>
    </row>
    <row r="123" spans="1:26" ht="12.75" customHeight="1" x14ac:dyDescent="0.2">
      <c r="A123" s="2" t="s">
        <v>220</v>
      </c>
      <c r="B123" s="2" t="s">
        <v>221</v>
      </c>
      <c r="C123" s="2" t="s">
        <v>222</v>
      </c>
      <c r="D123" s="2" t="s">
        <v>1816</v>
      </c>
      <c r="E123" s="2" t="s">
        <v>2561</v>
      </c>
      <c r="F123" s="6" t="s">
        <v>3050</v>
      </c>
      <c r="G123" s="2" t="s">
        <v>140</v>
      </c>
      <c r="H123" s="2" t="s">
        <v>35</v>
      </c>
      <c r="I123" s="2" t="s">
        <v>3097</v>
      </c>
      <c r="J123" s="2" t="s">
        <v>1783</v>
      </c>
      <c r="K123" s="2" t="s">
        <v>1787</v>
      </c>
      <c r="L123" s="2" t="s">
        <v>95</v>
      </c>
      <c r="M123" s="7" t="s">
        <v>223</v>
      </c>
      <c r="N123" s="2" t="s">
        <v>3274</v>
      </c>
      <c r="O123" s="3" t="s">
        <v>3273</v>
      </c>
      <c r="P123" s="2" t="s">
        <v>3170</v>
      </c>
      <c r="Q123" s="2" t="s">
        <v>3168</v>
      </c>
      <c r="R123" s="2" t="s">
        <v>3155</v>
      </c>
      <c r="S123" s="2" t="s">
        <v>3093</v>
      </c>
      <c r="T123" s="2" t="s">
        <v>2355</v>
      </c>
      <c r="U123" s="2" t="s">
        <v>118</v>
      </c>
      <c r="V123" s="2" t="s">
        <v>2397</v>
      </c>
      <c r="W123" s="2"/>
      <c r="Y123" t="str">
        <f>PROPER(Table1[[#This Row],[Industry]])</f>
        <v>Строителство / Довършителни Работи, Лека Индустрия</v>
      </c>
      <c r="Z123" t="str">
        <f>PROPER(Table1[[#This Row],[Insole]])</f>
        <v>Текстил,Сменяема Стелка</v>
      </c>
    </row>
    <row r="124" spans="1:26" ht="12.75" customHeight="1" x14ac:dyDescent="0.2">
      <c r="A124" s="2" t="s">
        <v>142</v>
      </c>
      <c r="B124" s="2" t="s">
        <v>143</v>
      </c>
      <c r="C124" s="2" t="s">
        <v>144</v>
      </c>
      <c r="D124" s="2" t="s">
        <v>2272</v>
      </c>
      <c r="E124" s="2" t="s">
        <v>2542</v>
      </c>
      <c r="F124" s="6" t="s">
        <v>3050</v>
      </c>
      <c r="G124" s="2" t="s">
        <v>140</v>
      </c>
      <c r="H124" s="2" t="s">
        <v>35</v>
      </c>
      <c r="I124" s="2" t="s">
        <v>3097</v>
      </c>
      <c r="J124" s="2" t="s">
        <v>1783</v>
      </c>
      <c r="K124" s="2" t="s">
        <v>2309</v>
      </c>
      <c r="L124" s="2" t="s">
        <v>95</v>
      </c>
      <c r="M124" s="7" t="s">
        <v>141</v>
      </c>
      <c r="N124" s="2" t="s">
        <v>3316</v>
      </c>
      <c r="O124" s="3" t="s">
        <v>3317</v>
      </c>
      <c r="P124" s="2" t="s">
        <v>3179</v>
      </c>
      <c r="Q124" s="2" t="s">
        <v>3168</v>
      </c>
      <c r="R124" s="2" t="s">
        <v>3155</v>
      </c>
      <c r="S124" s="2" t="s">
        <v>3093</v>
      </c>
      <c r="T124" s="2" t="s">
        <v>2355</v>
      </c>
      <c r="U124" s="2" t="s">
        <v>118</v>
      </c>
      <c r="V124" s="2" t="s">
        <v>2386</v>
      </c>
      <c r="W124" s="2"/>
      <c r="Y124" t="str">
        <f>PROPER(Table1[[#This Row],[Industry]])</f>
        <v>Строителство / Довършителни Работи, Лека Индустрия</v>
      </c>
      <c r="Z124" t="str">
        <f>PROPER(Table1[[#This Row],[Insole]])</f>
        <v>Текстил,Сменяема Стелка</v>
      </c>
    </row>
    <row r="125" spans="1:26" ht="12.75" customHeight="1" x14ac:dyDescent="0.2">
      <c r="A125" s="2" t="s">
        <v>356</v>
      </c>
      <c r="B125" s="2" t="s">
        <v>357</v>
      </c>
      <c r="C125" s="2" t="s">
        <v>358</v>
      </c>
      <c r="D125" s="2" t="s">
        <v>2111</v>
      </c>
      <c r="E125" s="2" t="s">
        <v>2601</v>
      </c>
      <c r="F125" s="6" t="s">
        <v>3050</v>
      </c>
      <c r="G125" s="2" t="s">
        <v>140</v>
      </c>
      <c r="H125" s="2" t="s">
        <v>35</v>
      </c>
      <c r="I125" s="2" t="s">
        <v>3097</v>
      </c>
      <c r="J125" s="2" t="s">
        <v>1783</v>
      </c>
      <c r="K125" s="2" t="s">
        <v>2104</v>
      </c>
      <c r="L125" s="2" t="s">
        <v>95</v>
      </c>
      <c r="M125" s="7" t="s">
        <v>141</v>
      </c>
      <c r="N125" s="2" t="s">
        <v>3316</v>
      </c>
      <c r="O125" s="3" t="s">
        <v>3318</v>
      </c>
      <c r="P125" s="2" t="s">
        <v>3179</v>
      </c>
      <c r="Q125" s="2" t="s">
        <v>3168</v>
      </c>
      <c r="R125" s="2" t="s">
        <v>3155</v>
      </c>
      <c r="S125" s="2" t="s">
        <v>3093</v>
      </c>
      <c r="T125" s="2" t="s">
        <v>2355</v>
      </c>
      <c r="U125" s="2" t="s">
        <v>118</v>
      </c>
      <c r="V125" s="2" t="s">
        <v>2386</v>
      </c>
      <c r="W125" s="2"/>
      <c r="Y125" t="str">
        <f>PROPER(Table1[[#This Row],[Industry]])</f>
        <v>Строителство / Довършителни Работи, Лека Индустрия</v>
      </c>
      <c r="Z125" t="str">
        <f>PROPER(Table1[[#This Row],[Insole]])</f>
        <v>Текстил,Сменяема Стелка</v>
      </c>
    </row>
    <row r="126" spans="1:26" ht="12.75" customHeight="1" x14ac:dyDescent="0.2">
      <c r="A126" s="2" t="s">
        <v>203</v>
      </c>
      <c r="B126" s="2" t="s">
        <v>204</v>
      </c>
      <c r="C126" s="2" t="s">
        <v>205</v>
      </c>
      <c r="D126" s="2" t="s">
        <v>1812</v>
      </c>
      <c r="E126" s="2" t="s">
        <v>2557</v>
      </c>
      <c r="F126" s="6" t="s">
        <v>3050</v>
      </c>
      <c r="G126" s="2" t="s">
        <v>206</v>
      </c>
      <c r="H126" s="2" t="s">
        <v>35</v>
      </c>
      <c r="I126" s="2" t="s">
        <v>3137</v>
      </c>
      <c r="J126" s="2" t="s">
        <v>1783</v>
      </c>
      <c r="K126" s="2" t="s">
        <v>1787</v>
      </c>
      <c r="L126" s="2" t="s">
        <v>95</v>
      </c>
      <c r="M126" s="7" t="s">
        <v>207</v>
      </c>
      <c r="N126" s="2" t="s">
        <v>3316</v>
      </c>
      <c r="O126" s="3" t="s">
        <v>3273</v>
      </c>
      <c r="P126" s="2" t="s">
        <v>3171</v>
      </c>
      <c r="Q126" s="2" t="s">
        <v>3162</v>
      </c>
      <c r="R126" s="2" t="s">
        <v>3155</v>
      </c>
      <c r="S126" s="2" t="s">
        <v>3094</v>
      </c>
      <c r="T126" s="2" t="s">
        <v>2355</v>
      </c>
      <c r="U126" s="2" t="s">
        <v>118</v>
      </c>
      <c r="V126" s="2" t="s">
        <v>2396</v>
      </c>
      <c r="W126" s="2" t="s">
        <v>208</v>
      </c>
      <c r="Y126" t="str">
        <f>PROPER(Table1[[#This Row],[Industry]])</f>
        <v>Строителство / Довършителни Работи</v>
      </c>
      <c r="Z126" t="str">
        <f>PROPER(Table1[[#This Row],[Insole]])</f>
        <v>Текстил,Сменяема Стелка</v>
      </c>
    </row>
    <row r="127" spans="1:26" ht="12.75" customHeight="1" x14ac:dyDescent="0.2">
      <c r="A127" s="2" t="s">
        <v>224</v>
      </c>
      <c r="B127" s="2" t="s">
        <v>225</v>
      </c>
      <c r="C127" s="2" t="s">
        <v>226</v>
      </c>
      <c r="D127" s="2" t="s">
        <v>1817</v>
      </c>
      <c r="E127" s="2" t="s">
        <v>2562</v>
      </c>
      <c r="F127" s="6" t="s">
        <v>3050</v>
      </c>
      <c r="G127" s="2" t="s">
        <v>227</v>
      </c>
      <c r="H127" s="2" t="s">
        <v>35</v>
      </c>
      <c r="I127" s="2" t="s">
        <v>3137</v>
      </c>
      <c r="J127" s="2" t="s">
        <v>1783</v>
      </c>
      <c r="K127" s="2" t="s">
        <v>1787</v>
      </c>
      <c r="L127" s="2" t="s">
        <v>95</v>
      </c>
      <c r="M127" s="7" t="s">
        <v>228</v>
      </c>
      <c r="N127" s="2" t="s">
        <v>3319</v>
      </c>
      <c r="O127" s="3" t="s">
        <v>3273</v>
      </c>
      <c r="P127" s="2" t="s">
        <v>3171</v>
      </c>
      <c r="Q127" s="2" t="s">
        <v>3168</v>
      </c>
      <c r="R127" s="2" t="s">
        <v>3155</v>
      </c>
      <c r="S127" s="2" t="s">
        <v>3094</v>
      </c>
      <c r="T127" s="2" t="s">
        <v>2355</v>
      </c>
      <c r="U127" s="2" t="s">
        <v>118</v>
      </c>
      <c r="V127" s="2" t="s">
        <v>2397</v>
      </c>
      <c r="W127" s="2" t="s">
        <v>208</v>
      </c>
      <c r="Y127" t="str">
        <f>PROPER(Table1[[#This Row],[Industry]])</f>
        <v>Строителство / Довършителни Работи</v>
      </c>
      <c r="Z127" t="str">
        <f>PROPER(Table1[[#This Row],[Insole]])</f>
        <v>Текстил,Сменяема Стелка</v>
      </c>
    </row>
    <row r="128" spans="1:26" ht="12.75" customHeight="1" x14ac:dyDescent="0.2">
      <c r="A128" s="2" t="s">
        <v>263</v>
      </c>
      <c r="B128" s="2" t="s">
        <v>264</v>
      </c>
      <c r="C128" s="2" t="s">
        <v>265</v>
      </c>
      <c r="D128" s="2" t="s">
        <v>1821</v>
      </c>
      <c r="E128" s="2" t="s">
        <v>2572</v>
      </c>
      <c r="F128" s="6" t="s">
        <v>3051</v>
      </c>
      <c r="G128" s="2" t="s">
        <v>232</v>
      </c>
      <c r="H128" s="2" t="s">
        <v>35</v>
      </c>
      <c r="I128" s="2" t="s">
        <v>3140</v>
      </c>
      <c r="J128" s="2" t="s">
        <v>1783</v>
      </c>
      <c r="K128" s="2" t="s">
        <v>1787</v>
      </c>
      <c r="L128" s="2" t="s">
        <v>95</v>
      </c>
      <c r="M128" s="7" t="s">
        <v>207</v>
      </c>
      <c r="N128" s="2" t="s">
        <v>3284</v>
      </c>
      <c r="O128" s="3" t="s">
        <v>3285</v>
      </c>
      <c r="P128" s="2" t="s">
        <v>3170</v>
      </c>
      <c r="Q128" s="2" t="s">
        <v>3177</v>
      </c>
      <c r="R128" s="2" t="s">
        <v>3155</v>
      </c>
      <c r="S128" s="2" t="s">
        <v>3094</v>
      </c>
      <c r="T128" s="2" t="s">
        <v>2355</v>
      </c>
      <c r="U128" s="2" t="s">
        <v>119</v>
      </c>
      <c r="V128" s="2"/>
      <c r="W128" s="2" t="s">
        <v>208</v>
      </c>
      <c r="Y128" t="str">
        <f>PROPER(Table1[[#This Row],[Industry]])</f>
        <v>Строителство / Довършителни Работи, Пожарникари И Спасители, Тежка Индустрия</v>
      </c>
      <c r="Z128" t="str">
        <f>PROPER(Table1[[#This Row],[Insole]])</f>
        <v>Текстил,Сменяема Стелка</v>
      </c>
    </row>
    <row r="129" spans="1:26" ht="12.75" customHeight="1" x14ac:dyDescent="0.2">
      <c r="A129" s="2" t="s">
        <v>229</v>
      </c>
      <c r="B129" s="2" t="s">
        <v>230</v>
      </c>
      <c r="C129" s="2" t="s">
        <v>231</v>
      </c>
      <c r="D129" s="2" t="s">
        <v>1818</v>
      </c>
      <c r="E129" s="2" t="s">
        <v>2563</v>
      </c>
      <c r="F129" s="6" t="s">
        <v>3057</v>
      </c>
      <c r="G129" s="2" t="s">
        <v>232</v>
      </c>
      <c r="H129" s="2" t="s">
        <v>35</v>
      </c>
      <c r="I129" s="2" t="s">
        <v>3140</v>
      </c>
      <c r="J129" s="2" t="s">
        <v>1783</v>
      </c>
      <c r="K129" s="2" t="s">
        <v>1787</v>
      </c>
      <c r="L129" s="2" t="s">
        <v>95</v>
      </c>
      <c r="M129" s="7" t="s">
        <v>233</v>
      </c>
      <c r="N129" s="2" t="s">
        <v>3286</v>
      </c>
      <c r="O129" s="3" t="s">
        <v>3287</v>
      </c>
      <c r="P129" s="2" t="s">
        <v>3170</v>
      </c>
      <c r="Q129" s="2" t="s">
        <v>3177</v>
      </c>
      <c r="R129" s="2" t="s">
        <v>3155</v>
      </c>
      <c r="S129" s="2" t="s">
        <v>3094</v>
      </c>
      <c r="T129" s="2" t="s">
        <v>2355</v>
      </c>
      <c r="U129" s="2" t="s">
        <v>118</v>
      </c>
      <c r="V129" s="2" t="s">
        <v>2398</v>
      </c>
      <c r="W129" s="2" t="s">
        <v>208</v>
      </c>
      <c r="Y129" t="str">
        <f>PROPER(Table1[[#This Row],[Industry]])</f>
        <v>Строителство / Довършителни Работи, Пожарникари И Спасители, Тежка Индустрия</v>
      </c>
      <c r="Z129" t="str">
        <f>PROPER(Table1[[#This Row],[Insole]])</f>
        <v>Текстил,Сменяема Стелка</v>
      </c>
    </row>
    <row r="130" spans="1:26" ht="12.75" customHeight="1" x14ac:dyDescent="0.2">
      <c r="A130" s="2" t="s">
        <v>214</v>
      </c>
      <c r="B130" s="2" t="s">
        <v>215</v>
      </c>
      <c r="C130" s="2" t="s">
        <v>216</v>
      </c>
      <c r="D130" s="2" t="s">
        <v>1814</v>
      </c>
      <c r="E130" s="2" t="s">
        <v>2559</v>
      </c>
      <c r="F130" s="6" t="s">
        <v>3050</v>
      </c>
      <c r="G130" s="2" t="s">
        <v>212</v>
      </c>
      <c r="H130" s="2" t="s">
        <v>35</v>
      </c>
      <c r="I130" s="2" t="s">
        <v>3127</v>
      </c>
      <c r="J130" s="2" t="s">
        <v>3190</v>
      </c>
      <c r="K130" s="2" t="s">
        <v>1787</v>
      </c>
      <c r="L130" s="2" t="s">
        <v>95</v>
      </c>
      <c r="M130" s="7" t="s">
        <v>213</v>
      </c>
      <c r="N130" s="2" t="s">
        <v>3277</v>
      </c>
      <c r="O130" s="3" t="s">
        <v>3278</v>
      </c>
      <c r="P130" s="2" t="s">
        <v>3170</v>
      </c>
      <c r="Q130" s="2" t="s">
        <v>3168</v>
      </c>
      <c r="R130" s="2" t="s">
        <v>3155</v>
      </c>
      <c r="S130" s="2" t="s">
        <v>3092</v>
      </c>
      <c r="T130" s="2" t="s">
        <v>2355</v>
      </c>
      <c r="U130" s="2" t="s">
        <v>118</v>
      </c>
      <c r="V130" s="2" t="s">
        <v>2474</v>
      </c>
      <c r="W130" s="2" t="s">
        <v>119</v>
      </c>
      <c r="Y130" t="str">
        <f>PROPER(Table1[[#This Row],[Industry]])</f>
        <v>Автомобилен Сервиз/ Сервизна Поддръжка, Строителство / Довършителни Работи, Лека Индустрия</v>
      </c>
      <c r="Z130" t="str">
        <f>PROPER(Table1[[#This Row],[Insole]])</f>
        <v>Текстил,Сменяема Стелка</v>
      </c>
    </row>
    <row r="131" spans="1:26" ht="12.75" customHeight="1" x14ac:dyDescent="0.2">
      <c r="A131" s="2" t="s">
        <v>266</v>
      </c>
      <c r="B131" s="2" t="s">
        <v>267</v>
      </c>
      <c r="C131" s="2" t="s">
        <v>268</v>
      </c>
      <c r="D131" s="2" t="s">
        <v>2207</v>
      </c>
      <c r="E131" s="2" t="s">
        <v>2573</v>
      </c>
      <c r="F131" s="6" t="s">
        <v>3050</v>
      </c>
      <c r="G131" s="2" t="s">
        <v>212</v>
      </c>
      <c r="H131" s="2" t="s">
        <v>35</v>
      </c>
      <c r="I131" s="2" t="s">
        <v>3127</v>
      </c>
      <c r="J131" s="2" t="s">
        <v>1783</v>
      </c>
      <c r="K131" s="2" t="s">
        <v>2206</v>
      </c>
      <c r="L131" s="2" t="s">
        <v>95</v>
      </c>
      <c r="M131" s="7" t="s">
        <v>213</v>
      </c>
      <c r="N131" s="2" t="s">
        <v>3279</v>
      </c>
      <c r="O131" s="3" t="s">
        <v>3280</v>
      </c>
      <c r="P131" s="2" t="s">
        <v>3170</v>
      </c>
      <c r="Q131" s="2" t="s">
        <v>3168</v>
      </c>
      <c r="R131" s="2" t="s">
        <v>3155</v>
      </c>
      <c r="S131" s="2" t="s">
        <v>3092</v>
      </c>
      <c r="T131" s="2" t="s">
        <v>2355</v>
      </c>
      <c r="U131" s="2" t="s">
        <v>118</v>
      </c>
      <c r="V131" s="2" t="s">
        <v>2473</v>
      </c>
      <c r="W131" s="2" t="s">
        <v>119</v>
      </c>
      <c r="Y131" t="str">
        <f>PROPER(Table1[[#This Row],[Industry]])</f>
        <v>Автомобилен Сервиз/ Сервизна Поддръжка, Строителство / Довършителни Работи, Лека Индустрия</v>
      </c>
      <c r="Z131" t="str">
        <f>PROPER(Table1[[#This Row],[Insole]])</f>
        <v>Текстил,Сменяема Стелка</v>
      </c>
    </row>
    <row r="132" spans="1:26" ht="12.75" customHeight="1" x14ac:dyDescent="0.2">
      <c r="A132" s="2" t="s">
        <v>209</v>
      </c>
      <c r="B132" s="2" t="s">
        <v>210</v>
      </c>
      <c r="C132" s="2" t="s">
        <v>211</v>
      </c>
      <c r="D132" s="2" t="s">
        <v>1813</v>
      </c>
      <c r="E132" s="2" t="s">
        <v>2558</v>
      </c>
      <c r="F132" s="6" t="s">
        <v>3050</v>
      </c>
      <c r="G132" s="2" t="s">
        <v>212</v>
      </c>
      <c r="H132" s="2" t="s">
        <v>35</v>
      </c>
      <c r="I132" s="2" t="s">
        <v>3127</v>
      </c>
      <c r="J132" s="2" t="s">
        <v>1783</v>
      </c>
      <c r="K132" s="2" t="s">
        <v>1787</v>
      </c>
      <c r="L132" s="2" t="s">
        <v>95</v>
      </c>
      <c r="M132" s="7" t="s">
        <v>213</v>
      </c>
      <c r="N132" s="2" t="s">
        <v>3279</v>
      </c>
      <c r="O132" s="3" t="s">
        <v>3281</v>
      </c>
      <c r="P132" s="2" t="s">
        <v>3170</v>
      </c>
      <c r="Q132" s="2" t="s">
        <v>3168</v>
      </c>
      <c r="R132" s="2" t="s">
        <v>3155</v>
      </c>
      <c r="S132" s="2" t="s">
        <v>3092</v>
      </c>
      <c r="T132" s="2" t="s">
        <v>2355</v>
      </c>
      <c r="U132" s="2" t="s">
        <v>118</v>
      </c>
      <c r="V132" s="2" t="s">
        <v>2473</v>
      </c>
      <c r="W132" s="2" t="s">
        <v>119</v>
      </c>
      <c r="Y132" t="str">
        <f>PROPER(Table1[[#This Row],[Industry]])</f>
        <v>Автомобилен Сервиз/ Сервизна Поддръжка, Строителство / Довършителни Работи, Лека Индустрия</v>
      </c>
      <c r="Z132" t="str">
        <f>PROPER(Table1[[#This Row],[Insole]])</f>
        <v>Текстил,Сменяема Стелка</v>
      </c>
    </row>
    <row r="133" spans="1:26" ht="12.75" customHeight="1" x14ac:dyDescent="0.2">
      <c r="A133" s="2" t="s">
        <v>217</v>
      </c>
      <c r="B133" s="2" t="s">
        <v>218</v>
      </c>
      <c r="C133" s="2" t="s">
        <v>219</v>
      </c>
      <c r="D133" s="2" t="s">
        <v>1815</v>
      </c>
      <c r="E133" s="2" t="s">
        <v>2560</v>
      </c>
      <c r="F133" s="6" t="s">
        <v>3050</v>
      </c>
      <c r="G133" s="2" t="s">
        <v>212</v>
      </c>
      <c r="H133" s="2" t="s">
        <v>35</v>
      </c>
      <c r="I133" s="2" t="s">
        <v>3127</v>
      </c>
      <c r="J133" s="2" t="s">
        <v>1783</v>
      </c>
      <c r="K133" s="2" t="s">
        <v>1787</v>
      </c>
      <c r="L133" s="2" t="s">
        <v>95</v>
      </c>
      <c r="M133" s="7" t="s">
        <v>213</v>
      </c>
      <c r="N133" s="2" t="s">
        <v>3282</v>
      </c>
      <c r="O133" s="3" t="s">
        <v>3283</v>
      </c>
      <c r="P133" s="2" t="s">
        <v>3170</v>
      </c>
      <c r="Q133" s="2" t="s">
        <v>3168</v>
      </c>
      <c r="R133" s="2" t="s">
        <v>3155</v>
      </c>
      <c r="S133" s="2" t="s">
        <v>3095</v>
      </c>
      <c r="T133" s="2" t="s">
        <v>2355</v>
      </c>
      <c r="U133" s="2" t="s">
        <v>118</v>
      </c>
      <c r="V133" s="2" t="s">
        <v>2475</v>
      </c>
      <c r="W133" s="2" t="s">
        <v>119</v>
      </c>
      <c r="Y133" t="str">
        <f>PROPER(Table1[[#This Row],[Industry]])</f>
        <v>Автомобилен Сервиз/ Сервизна Поддръжка, Строителство / Довършителни Работи, Лека Индустрия</v>
      </c>
      <c r="Z133" t="str">
        <f>PROPER(Table1[[#This Row],[Insole]])</f>
        <v>Текстил,Сменяема Стелка</v>
      </c>
    </row>
    <row r="134" spans="1:26" ht="12.75" customHeight="1" x14ac:dyDescent="0.2">
      <c r="A134" s="2" t="s">
        <v>274</v>
      </c>
      <c r="B134" s="2" t="s">
        <v>275</v>
      </c>
      <c r="C134" s="2" t="s">
        <v>276</v>
      </c>
      <c r="D134" s="2" t="s">
        <v>1823</v>
      </c>
      <c r="E134" s="2" t="s">
        <v>2575</v>
      </c>
      <c r="F134" s="6" t="s">
        <v>3049</v>
      </c>
      <c r="G134" s="2" t="s">
        <v>180</v>
      </c>
      <c r="H134" s="2" t="s">
        <v>53</v>
      </c>
      <c r="I134" s="2" t="s">
        <v>3099</v>
      </c>
      <c r="J134" s="2" t="s">
        <v>1783</v>
      </c>
      <c r="K134" s="2" t="s">
        <v>1787</v>
      </c>
      <c r="L134" s="2" t="s">
        <v>3154</v>
      </c>
      <c r="M134" s="7" t="s">
        <v>3195</v>
      </c>
      <c r="N134" s="2" t="s">
        <v>3251</v>
      </c>
      <c r="O134" s="3" t="s">
        <v>3329</v>
      </c>
      <c r="P134" s="2" t="s">
        <v>3174</v>
      </c>
      <c r="Q134" s="2" t="s">
        <v>3168</v>
      </c>
      <c r="R134" s="2" t="s">
        <v>3155</v>
      </c>
      <c r="S134" s="2" t="s">
        <v>2337</v>
      </c>
      <c r="T134" s="2" t="s">
        <v>2363</v>
      </c>
      <c r="U134" s="2" t="s">
        <v>181</v>
      </c>
      <c r="V134" s="2" t="s">
        <v>2392</v>
      </c>
      <c r="W134" s="2" t="s">
        <v>181</v>
      </c>
      <c r="Y134" t="str">
        <f>PROPER(Table1[[#This Row],[Industry]])</f>
        <v>Пожарникари И Спасители, Охрана И Сигурност / Охрана, Тактически, Трекинг</v>
      </c>
      <c r="Z134" t="str">
        <f>PROPER(Table1[[#This Row],[Insole]])</f>
        <v>Текстил,Сменяема Стелка</v>
      </c>
    </row>
    <row r="135" spans="1:26" ht="12.75" customHeight="1" x14ac:dyDescent="0.2">
      <c r="A135" s="2" t="s">
        <v>177</v>
      </c>
      <c r="B135" s="2" t="s">
        <v>178</v>
      </c>
      <c r="C135" s="2" t="s">
        <v>179</v>
      </c>
      <c r="D135" s="2" t="s">
        <v>2273</v>
      </c>
      <c r="E135" s="2" t="s">
        <v>2550</v>
      </c>
      <c r="F135" s="6" t="s">
        <v>3049</v>
      </c>
      <c r="G135" s="2" t="s">
        <v>180</v>
      </c>
      <c r="H135" s="2" t="s">
        <v>53</v>
      </c>
      <c r="I135" s="2" t="s">
        <v>3099</v>
      </c>
      <c r="J135" s="2" t="s">
        <v>1783</v>
      </c>
      <c r="K135" s="2" t="s">
        <v>2309</v>
      </c>
      <c r="L135" s="2" t="s">
        <v>3154</v>
      </c>
      <c r="M135" s="7" t="s">
        <v>3195</v>
      </c>
      <c r="N135" s="2" t="s">
        <v>3251</v>
      </c>
      <c r="O135" s="2"/>
      <c r="P135" s="2" t="s">
        <v>3174</v>
      </c>
      <c r="Q135" s="2" t="s">
        <v>3168</v>
      </c>
      <c r="R135" s="2" t="s">
        <v>3155</v>
      </c>
      <c r="S135" s="2" t="s">
        <v>2337</v>
      </c>
      <c r="T135" s="2" t="s">
        <v>2363</v>
      </c>
      <c r="U135" s="2" t="s">
        <v>181</v>
      </c>
      <c r="V135" s="2" t="s">
        <v>2392</v>
      </c>
      <c r="W135" s="2" t="s">
        <v>181</v>
      </c>
      <c r="Y135" t="str">
        <f>PROPER(Table1[[#This Row],[Industry]])</f>
        <v>Пожарникари И Спасители, Охрана И Сигурност / Охрана, Тактически, Трекинг</v>
      </c>
      <c r="Z135" t="str">
        <f>PROPER(Table1[[#This Row],[Insole]])</f>
        <v>Текстил,Сменяема Стелка</v>
      </c>
    </row>
    <row r="136" spans="1:26" ht="12.75" customHeight="1" x14ac:dyDescent="0.2">
      <c r="A136" s="2" t="s">
        <v>367</v>
      </c>
      <c r="B136" s="2" t="s">
        <v>368</v>
      </c>
      <c r="C136" s="4" t="s">
        <v>2511</v>
      </c>
      <c r="D136" s="2" t="s">
        <v>2285</v>
      </c>
      <c r="E136" s="2" t="s">
        <v>2604</v>
      </c>
      <c r="F136" s="6" t="s">
        <v>3048</v>
      </c>
      <c r="G136" s="2" t="s">
        <v>2280</v>
      </c>
      <c r="H136" s="2" t="s">
        <v>53</v>
      </c>
      <c r="I136" s="2" t="s">
        <v>3100</v>
      </c>
      <c r="J136" s="2" t="s">
        <v>3190</v>
      </c>
      <c r="K136" s="2" t="s">
        <v>2309</v>
      </c>
      <c r="L136" s="2" t="s">
        <v>3193</v>
      </c>
      <c r="M136" s="7" t="s">
        <v>3195</v>
      </c>
      <c r="N136" s="2" t="s">
        <v>3200</v>
      </c>
      <c r="O136" s="2"/>
      <c r="P136" s="2" t="s">
        <v>3174</v>
      </c>
      <c r="Q136" s="2" t="s">
        <v>3168</v>
      </c>
      <c r="R136" s="2" t="s">
        <v>3155</v>
      </c>
      <c r="S136" s="2" t="s">
        <v>2337</v>
      </c>
      <c r="T136" s="2" t="s">
        <v>2355</v>
      </c>
      <c r="U136" s="2" t="s">
        <v>181</v>
      </c>
      <c r="V136" s="2" t="s">
        <v>2403</v>
      </c>
      <c r="W136" s="2"/>
      <c r="Y136" t="str">
        <f>PROPER(Table1[[#This Row],[Industry]])</f>
        <v>Охрана И Сигурност / Охрана, Тактически, Трекинг</v>
      </c>
      <c r="Z136" t="str">
        <f>PROPER(Table1[[#This Row],[Insole]])</f>
        <v>Текстил,Сменяема Стелка</v>
      </c>
    </row>
    <row r="137" spans="1:26" ht="12.75" customHeight="1" x14ac:dyDescent="0.2">
      <c r="A137" s="2" t="s">
        <v>277</v>
      </c>
      <c r="B137" s="2" t="s">
        <v>278</v>
      </c>
      <c r="C137" s="4" t="s">
        <v>2514</v>
      </c>
      <c r="D137" s="2" t="s">
        <v>2279</v>
      </c>
      <c r="E137" s="2" t="s">
        <v>2576</v>
      </c>
      <c r="F137" s="6" t="s">
        <v>3048</v>
      </c>
      <c r="G137" s="2" t="s">
        <v>2280</v>
      </c>
      <c r="H137" s="2" t="s">
        <v>53</v>
      </c>
      <c r="I137" s="2" t="s">
        <v>3100</v>
      </c>
      <c r="J137" s="2" t="s">
        <v>3190</v>
      </c>
      <c r="K137" s="2" t="s">
        <v>1787</v>
      </c>
      <c r="L137" s="2" t="s">
        <v>3193</v>
      </c>
      <c r="M137" s="7" t="s">
        <v>3195</v>
      </c>
      <c r="N137" s="2" t="s">
        <v>3200</v>
      </c>
      <c r="O137" s="2"/>
      <c r="P137" s="2" t="s">
        <v>3174</v>
      </c>
      <c r="Q137" s="2" t="s">
        <v>3168</v>
      </c>
      <c r="R137" s="2" t="s">
        <v>3155</v>
      </c>
      <c r="S137" s="2" t="s">
        <v>2337</v>
      </c>
      <c r="T137" s="2" t="s">
        <v>2355</v>
      </c>
      <c r="U137" s="2" t="s">
        <v>181</v>
      </c>
      <c r="V137" s="2" t="s">
        <v>2403</v>
      </c>
      <c r="W137" s="2"/>
      <c r="Y137" t="str">
        <f>PROPER(Table1[[#This Row],[Industry]])</f>
        <v>Охрана И Сигурност / Охрана, Тактически, Трекинг</v>
      </c>
      <c r="Z137" t="str">
        <f>PROPER(Table1[[#This Row],[Insole]])</f>
        <v>Текстил,Сменяема Стелка</v>
      </c>
    </row>
    <row r="138" spans="1:26" ht="12.75" customHeight="1" x14ac:dyDescent="0.2">
      <c r="A138" s="2" t="s">
        <v>70</v>
      </c>
      <c r="B138" s="2" t="s">
        <v>71</v>
      </c>
      <c r="C138" s="2" t="s">
        <v>72</v>
      </c>
      <c r="D138" s="2" t="s">
        <v>1793</v>
      </c>
      <c r="E138" s="2" t="s">
        <v>2525</v>
      </c>
      <c r="F138" s="2"/>
      <c r="G138" s="2" t="s">
        <v>73</v>
      </c>
      <c r="H138" s="2" t="s">
        <v>53</v>
      </c>
      <c r="I138" s="2" t="s">
        <v>3147</v>
      </c>
      <c r="J138" s="2" t="s">
        <v>1783</v>
      </c>
      <c r="K138" s="2" t="s">
        <v>1787</v>
      </c>
      <c r="L138" s="2" t="s">
        <v>3193</v>
      </c>
      <c r="M138" s="7" t="s">
        <v>3193</v>
      </c>
      <c r="N138" s="2" t="s">
        <v>3246</v>
      </c>
      <c r="O138" s="2"/>
      <c r="P138" s="2" t="s">
        <v>3170</v>
      </c>
      <c r="Q138" s="2" t="s">
        <v>3177</v>
      </c>
      <c r="R138" s="2" t="s">
        <v>3155</v>
      </c>
      <c r="S138" s="2" t="s">
        <v>2335</v>
      </c>
      <c r="T138" s="2" t="s">
        <v>2355</v>
      </c>
      <c r="U138" s="2" t="s">
        <v>49</v>
      </c>
      <c r="V138" s="2" t="s">
        <v>2375</v>
      </c>
      <c r="W138" s="2"/>
      <c r="Y138" t="str">
        <f>PROPER(Table1[[#This Row],[Industry]])</f>
        <v>Охрана И Сигурност / Охрана, Тактически</v>
      </c>
      <c r="Z138" t="str">
        <f>PROPER(Table1[[#This Row],[Insole]])</f>
        <v>Текстил,Сменяема Стелка</v>
      </c>
    </row>
    <row r="139" spans="1:26" ht="12.75" customHeight="1" x14ac:dyDescent="0.2">
      <c r="A139" s="2" t="s">
        <v>951</v>
      </c>
      <c r="B139" s="2" t="s">
        <v>952</v>
      </c>
      <c r="C139" s="2" t="s">
        <v>953</v>
      </c>
      <c r="D139" s="2" t="s">
        <v>2141</v>
      </c>
      <c r="E139" s="2" t="s">
        <v>2776</v>
      </c>
      <c r="F139" s="2"/>
      <c r="G139" s="2" t="s">
        <v>954</v>
      </c>
      <c r="H139" s="2" t="s">
        <v>536</v>
      </c>
      <c r="I139" s="2" t="s">
        <v>3115</v>
      </c>
      <c r="J139" s="2" t="s">
        <v>3191</v>
      </c>
      <c r="K139" s="2" t="s">
        <v>1984</v>
      </c>
      <c r="L139" s="2" t="s">
        <v>41</v>
      </c>
      <c r="M139" s="7" t="s">
        <v>955</v>
      </c>
      <c r="N139" s="2"/>
      <c r="O139" s="2"/>
      <c r="P139" s="2" t="s">
        <v>3170</v>
      </c>
      <c r="Q139" s="2" t="s">
        <v>3162</v>
      </c>
      <c r="R139" s="2" t="s">
        <v>3158</v>
      </c>
      <c r="S139" s="2" t="s">
        <v>2341</v>
      </c>
      <c r="T139" s="2" t="s">
        <v>2367</v>
      </c>
      <c r="U139" s="2" t="s">
        <v>91</v>
      </c>
      <c r="V139" s="2" t="s">
        <v>2420</v>
      </c>
      <c r="W139" s="2"/>
      <c r="Y139" t="str">
        <f>PROPER(Table1[[#This Row],[Industry]])</f>
        <v>Хранително-Вкусова Индустрия, Гастрономия / Кухня, Хорека, Болничен Персонал, Фармацевтика</v>
      </c>
      <c r="Z139" t="str">
        <f>PROPER(Table1[[#This Row],[Insole]])</f>
        <v>Текстил, Антибактериална Стелка, Ортопедична Стелка,Сменяема Стелка</v>
      </c>
    </row>
    <row r="140" spans="1:26" ht="12.75" customHeight="1" x14ac:dyDescent="0.2">
      <c r="A140" s="2" t="s">
        <v>956</v>
      </c>
      <c r="B140" s="2" t="s">
        <v>957</v>
      </c>
      <c r="C140" s="2" t="s">
        <v>958</v>
      </c>
      <c r="D140" s="2" t="s">
        <v>2142</v>
      </c>
      <c r="E140" s="2" t="s">
        <v>2777</v>
      </c>
      <c r="F140" s="2"/>
      <c r="G140" s="2" t="s">
        <v>954</v>
      </c>
      <c r="H140" s="2" t="s">
        <v>536</v>
      </c>
      <c r="I140" s="2" t="s">
        <v>3114</v>
      </c>
      <c r="J140" s="2" t="s">
        <v>3191</v>
      </c>
      <c r="K140" s="2" t="s">
        <v>1984</v>
      </c>
      <c r="L140" s="2" t="s">
        <v>41</v>
      </c>
      <c r="M140" s="7" t="s">
        <v>955</v>
      </c>
      <c r="N140" s="2"/>
      <c r="O140" s="2"/>
      <c r="P140" s="2" t="s">
        <v>3170</v>
      </c>
      <c r="Q140" s="2" t="s">
        <v>3162</v>
      </c>
      <c r="R140" s="2" t="s">
        <v>3158</v>
      </c>
      <c r="S140" s="2" t="s">
        <v>2341</v>
      </c>
      <c r="T140" s="2" t="s">
        <v>2367</v>
      </c>
      <c r="U140" s="2" t="s">
        <v>91</v>
      </c>
      <c r="V140" s="2" t="s">
        <v>2426</v>
      </c>
      <c r="W140" s="2"/>
      <c r="Y140" t="str">
        <f>PROPER(Table1[[#This Row],[Industry]])</f>
        <v>Болничен Персонал</v>
      </c>
      <c r="Z140" t="str">
        <f>PROPER(Table1[[#This Row],[Insole]])</f>
        <v>Текстил, Антибактериална Стелка, Ортопедична Стелка,Сменяема Стелка</v>
      </c>
    </row>
    <row r="141" spans="1:26" ht="12.75" customHeight="1" x14ac:dyDescent="0.2">
      <c r="A141" s="2" t="s">
        <v>959</v>
      </c>
      <c r="B141" s="2" t="s">
        <v>960</v>
      </c>
      <c r="C141" s="2" t="s">
        <v>961</v>
      </c>
      <c r="D141" s="2" t="s">
        <v>2143</v>
      </c>
      <c r="E141" s="2" t="s">
        <v>2778</v>
      </c>
      <c r="F141" s="2"/>
      <c r="G141" s="2" t="s">
        <v>954</v>
      </c>
      <c r="H141" s="2" t="s">
        <v>536</v>
      </c>
      <c r="I141" s="2" t="s">
        <v>3114</v>
      </c>
      <c r="J141" s="2" t="s">
        <v>3191</v>
      </c>
      <c r="K141" s="2" t="s">
        <v>1984</v>
      </c>
      <c r="L141" s="2" t="s">
        <v>41</v>
      </c>
      <c r="M141" s="7" t="s">
        <v>955</v>
      </c>
      <c r="N141" s="2"/>
      <c r="O141" s="2"/>
      <c r="P141" s="2" t="s">
        <v>3170</v>
      </c>
      <c r="Q141" s="2" t="s">
        <v>3162</v>
      </c>
      <c r="R141" s="2" t="s">
        <v>3158</v>
      </c>
      <c r="S141" s="2" t="s">
        <v>2341</v>
      </c>
      <c r="T141" s="2" t="s">
        <v>2367</v>
      </c>
      <c r="U141" s="2" t="s">
        <v>91</v>
      </c>
      <c r="V141" s="2" t="s">
        <v>2426</v>
      </c>
      <c r="W141" s="2"/>
      <c r="Y141" t="str">
        <f>PROPER(Table1[[#This Row],[Industry]])</f>
        <v>Болничен Персонал</v>
      </c>
      <c r="Z141" t="str">
        <f>PROPER(Table1[[#This Row],[Insole]])</f>
        <v>Текстил, Антибактериална Стелка, Ортопедична Стелка,Сменяема Стелка</v>
      </c>
    </row>
    <row r="142" spans="1:26" ht="12.75" customHeight="1" x14ac:dyDescent="0.2">
      <c r="A142" s="2" t="s">
        <v>1409</v>
      </c>
      <c r="B142" s="2" t="s">
        <v>1410</v>
      </c>
      <c r="C142" s="2" t="s">
        <v>1411</v>
      </c>
      <c r="D142" s="2" t="s">
        <v>2153</v>
      </c>
      <c r="E142" s="2" t="s">
        <v>2922</v>
      </c>
      <c r="F142" s="2"/>
      <c r="G142" s="2" t="s">
        <v>954</v>
      </c>
      <c r="H142" s="2" t="s">
        <v>536</v>
      </c>
      <c r="I142" s="2" t="s">
        <v>3110</v>
      </c>
      <c r="J142" s="2" t="s">
        <v>3191</v>
      </c>
      <c r="K142" s="2" t="s">
        <v>1984</v>
      </c>
      <c r="L142" s="2" t="s">
        <v>41</v>
      </c>
      <c r="M142" s="7" t="s">
        <v>955</v>
      </c>
      <c r="N142" s="2"/>
      <c r="O142" s="2"/>
      <c r="P142" s="2" t="s">
        <v>3170</v>
      </c>
      <c r="Q142" s="2" t="s">
        <v>3162</v>
      </c>
      <c r="R142" s="2" t="s">
        <v>3158</v>
      </c>
      <c r="S142" s="2" t="s">
        <v>2341</v>
      </c>
      <c r="T142" s="2" t="s">
        <v>2367</v>
      </c>
      <c r="U142" s="2" t="s">
        <v>91</v>
      </c>
      <c r="V142" s="2" t="s">
        <v>2429</v>
      </c>
      <c r="W142" s="2"/>
      <c r="Y142" t="str">
        <f>PROPER(Table1[[#This Row],[Industry]])</f>
        <v>Гастрономия / Кухня</v>
      </c>
      <c r="Z142" t="str">
        <f>PROPER(Table1[[#This Row],[Insole]])</f>
        <v>Текстил, Антибактериална Стелка, Ортопедична Стелка,Сменяема Стелка</v>
      </c>
    </row>
    <row r="143" spans="1:26" ht="12.75" customHeight="1" x14ac:dyDescent="0.2">
      <c r="A143" s="2" t="s">
        <v>1412</v>
      </c>
      <c r="B143" s="2" t="s">
        <v>1413</v>
      </c>
      <c r="C143" s="2" t="s">
        <v>1414</v>
      </c>
      <c r="D143" s="2" t="s">
        <v>2154</v>
      </c>
      <c r="E143" s="2" t="s">
        <v>2923</v>
      </c>
      <c r="F143" s="2"/>
      <c r="G143" s="2" t="s">
        <v>954</v>
      </c>
      <c r="H143" s="2" t="s">
        <v>536</v>
      </c>
      <c r="I143" s="2" t="s">
        <v>3114</v>
      </c>
      <c r="J143" s="2" t="s">
        <v>3191</v>
      </c>
      <c r="K143" s="2" t="s">
        <v>1984</v>
      </c>
      <c r="L143" s="2" t="s">
        <v>41</v>
      </c>
      <c r="M143" s="7" t="s">
        <v>955</v>
      </c>
      <c r="N143" s="2"/>
      <c r="O143" s="2"/>
      <c r="P143" s="2" t="s">
        <v>3170</v>
      </c>
      <c r="Q143" s="2" t="s">
        <v>3162</v>
      </c>
      <c r="R143" s="2" t="s">
        <v>3158</v>
      </c>
      <c r="S143" s="2" t="s">
        <v>2341</v>
      </c>
      <c r="T143" s="2" t="s">
        <v>2367</v>
      </c>
      <c r="U143" s="2" t="s">
        <v>91</v>
      </c>
      <c r="V143" s="2" t="s">
        <v>2420</v>
      </c>
      <c r="W143" s="2"/>
      <c r="Y143" t="str">
        <f>PROPER(Table1[[#This Row],[Industry]])</f>
        <v>Болничен Персонал</v>
      </c>
      <c r="Z143" t="str">
        <f>PROPER(Table1[[#This Row],[Insole]])</f>
        <v>Текстил, Антибактериална Стелка, Ортопедична Стелка,Сменяема Стелка</v>
      </c>
    </row>
    <row r="144" spans="1:26" ht="12.75" customHeight="1" x14ac:dyDescent="0.2">
      <c r="A144" s="2" t="s">
        <v>1415</v>
      </c>
      <c r="B144" s="2" t="s">
        <v>1416</v>
      </c>
      <c r="C144" s="2" t="s">
        <v>1417</v>
      </c>
      <c r="D144" s="2" t="s">
        <v>2155</v>
      </c>
      <c r="E144" s="2" t="s">
        <v>2924</v>
      </c>
      <c r="F144" s="2"/>
      <c r="G144" s="2" t="s">
        <v>954</v>
      </c>
      <c r="H144" s="2" t="s">
        <v>536</v>
      </c>
      <c r="I144" s="2" t="s">
        <v>3114</v>
      </c>
      <c r="J144" s="2" t="s">
        <v>3191</v>
      </c>
      <c r="K144" s="2" t="s">
        <v>1984</v>
      </c>
      <c r="L144" s="2" t="s">
        <v>41</v>
      </c>
      <c r="M144" s="7" t="s">
        <v>955</v>
      </c>
      <c r="N144" s="2"/>
      <c r="O144" s="2"/>
      <c r="P144" s="2" t="s">
        <v>3170</v>
      </c>
      <c r="Q144" s="2" t="s">
        <v>3162</v>
      </c>
      <c r="R144" s="2" t="s">
        <v>3158</v>
      </c>
      <c r="S144" s="2" t="s">
        <v>2341</v>
      </c>
      <c r="T144" s="2" t="s">
        <v>2367</v>
      </c>
      <c r="U144" s="2" t="s">
        <v>91</v>
      </c>
      <c r="V144" s="2" t="s">
        <v>2420</v>
      </c>
      <c r="W144" s="2"/>
      <c r="Y144" t="str">
        <f>PROPER(Table1[[#This Row],[Industry]])</f>
        <v>Болничен Персонал</v>
      </c>
      <c r="Z144" t="str">
        <f>PROPER(Table1[[#This Row],[Insole]])</f>
        <v>Текстил, Антибактериална Стелка, Ортопедична Стелка,Сменяема Стелка</v>
      </c>
    </row>
    <row r="145" spans="1:26" ht="12.75" customHeight="1" x14ac:dyDescent="0.2">
      <c r="A145" s="2" t="s">
        <v>998</v>
      </c>
      <c r="B145" s="2" t="s">
        <v>999</v>
      </c>
      <c r="C145" s="2" t="s">
        <v>1000</v>
      </c>
      <c r="D145" s="2" t="s">
        <v>2144</v>
      </c>
      <c r="E145" s="2" t="s">
        <v>2791</v>
      </c>
      <c r="F145" s="2"/>
      <c r="G145" s="2" t="s">
        <v>954</v>
      </c>
      <c r="H145" s="2" t="s">
        <v>536</v>
      </c>
      <c r="I145" s="2" t="s">
        <v>3111</v>
      </c>
      <c r="J145" s="2" t="s">
        <v>3191</v>
      </c>
      <c r="K145" s="2" t="s">
        <v>1984</v>
      </c>
      <c r="L145" s="2" t="s">
        <v>41</v>
      </c>
      <c r="M145" s="7" t="s">
        <v>1001</v>
      </c>
      <c r="N145" s="2"/>
      <c r="O145" s="2"/>
      <c r="P145" s="2" t="s">
        <v>3170</v>
      </c>
      <c r="Q145" s="2" t="s">
        <v>3162</v>
      </c>
      <c r="R145" s="2" t="s">
        <v>3160</v>
      </c>
      <c r="S145" s="2" t="s">
        <v>2341</v>
      </c>
      <c r="T145" s="2" t="s">
        <v>2368</v>
      </c>
      <c r="U145" s="2" t="s">
        <v>91</v>
      </c>
      <c r="V145" s="2" t="s">
        <v>2392</v>
      </c>
      <c r="W145" s="2"/>
      <c r="Y145" t="str">
        <f>PROPER(Table1[[#This Row],[Industry]])</f>
        <v>Хорека, Болничен Персонал, Фармацевтика</v>
      </c>
      <c r="Z145" t="str">
        <f>PROPER(Table1[[#This Row],[Insole]])</f>
        <v>Кожа/Текстил, Интегрирана Стелка</v>
      </c>
    </row>
    <row r="146" spans="1:26" ht="12.75" customHeight="1" x14ac:dyDescent="0.2">
      <c r="A146" s="2" t="s">
        <v>962</v>
      </c>
      <c r="B146" s="2" t="s">
        <v>963</v>
      </c>
      <c r="C146" s="2" t="s">
        <v>964</v>
      </c>
      <c r="D146" s="2" t="s">
        <v>2180</v>
      </c>
      <c r="E146" s="2" t="s">
        <v>2779</v>
      </c>
      <c r="F146" s="2"/>
      <c r="G146" s="2" t="s">
        <v>954</v>
      </c>
      <c r="H146" s="2" t="s">
        <v>536</v>
      </c>
      <c r="I146" s="2" t="s">
        <v>3113</v>
      </c>
      <c r="J146" s="2" t="s">
        <v>3191</v>
      </c>
      <c r="K146" s="2" t="s">
        <v>1787</v>
      </c>
      <c r="L146" s="2" t="s">
        <v>41</v>
      </c>
      <c r="M146" s="7" t="s">
        <v>955</v>
      </c>
      <c r="N146" s="2"/>
      <c r="O146" s="2"/>
      <c r="P146" s="2" t="s">
        <v>3170</v>
      </c>
      <c r="Q146" s="2" t="s">
        <v>3162</v>
      </c>
      <c r="R146" s="2" t="s">
        <v>3158</v>
      </c>
      <c r="S146" s="2" t="s">
        <v>2341</v>
      </c>
      <c r="T146" s="2" t="s">
        <v>2367</v>
      </c>
      <c r="U146" s="2" t="s">
        <v>91</v>
      </c>
      <c r="V146" s="2" t="s">
        <v>2444</v>
      </c>
      <c r="W146" s="2"/>
      <c r="Y146" t="str">
        <f>PROPER(Table1[[#This Row],[Industry]])</f>
        <v>Хранително-Вкусова Индустрия, Гастрономия / Кухня, Хорека, Болничен Персонал</v>
      </c>
      <c r="Z146" t="str">
        <f>PROPER(Table1[[#This Row],[Insole]])</f>
        <v>Текстил, Антибактериална Стелка, Ортопедична Стелка,Сменяема Стелка</v>
      </c>
    </row>
    <row r="147" spans="1:26" ht="12.75" customHeight="1" x14ac:dyDescent="0.2">
      <c r="A147" s="2" t="s">
        <v>1418</v>
      </c>
      <c r="B147" s="2" t="s">
        <v>1419</v>
      </c>
      <c r="C147" s="2" t="s">
        <v>1420</v>
      </c>
      <c r="D147" s="2" t="s">
        <v>2191</v>
      </c>
      <c r="E147" s="2" t="s">
        <v>2925</v>
      </c>
      <c r="F147" s="2"/>
      <c r="G147" s="2" t="s">
        <v>954</v>
      </c>
      <c r="H147" s="2" t="s">
        <v>536</v>
      </c>
      <c r="I147" s="2" t="s">
        <v>3110</v>
      </c>
      <c r="J147" s="2" t="s">
        <v>3191</v>
      </c>
      <c r="K147" s="2" t="s">
        <v>1787</v>
      </c>
      <c r="L147" s="2" t="s">
        <v>41</v>
      </c>
      <c r="M147" s="7" t="s">
        <v>955</v>
      </c>
      <c r="N147" s="2"/>
      <c r="O147" s="2"/>
      <c r="P147" s="2" t="s">
        <v>3170</v>
      </c>
      <c r="Q147" s="2" t="s">
        <v>3162</v>
      </c>
      <c r="R147" s="2" t="s">
        <v>3158</v>
      </c>
      <c r="S147" s="2" t="s">
        <v>2341</v>
      </c>
      <c r="T147" s="2" t="s">
        <v>2368</v>
      </c>
      <c r="U147" s="2" t="s">
        <v>91</v>
      </c>
      <c r="V147" s="2" t="s">
        <v>2444</v>
      </c>
      <c r="W147" s="2"/>
      <c r="Y147" t="str">
        <f>PROPER(Table1[[#This Row],[Industry]])</f>
        <v>Гастрономия / Кухня</v>
      </c>
      <c r="Z147" t="str">
        <f>PROPER(Table1[[#This Row],[Insole]])</f>
        <v>Текстил, Антибактериална Стелка, Ортопедична Стелка,Сменяема Стелка</v>
      </c>
    </row>
    <row r="148" spans="1:26" ht="12.75" customHeight="1" x14ac:dyDescent="0.2">
      <c r="A148" s="2" t="s">
        <v>1421</v>
      </c>
      <c r="B148" s="2" t="s">
        <v>1422</v>
      </c>
      <c r="C148" s="2" t="s">
        <v>1423</v>
      </c>
      <c r="D148" s="2" t="s">
        <v>2156</v>
      </c>
      <c r="E148" s="2" t="s">
        <v>2926</v>
      </c>
      <c r="F148" s="2"/>
      <c r="G148" s="2" t="s">
        <v>954</v>
      </c>
      <c r="H148" s="2" t="s">
        <v>536</v>
      </c>
      <c r="I148" s="2" t="s">
        <v>3114</v>
      </c>
      <c r="J148" s="2" t="s">
        <v>3191</v>
      </c>
      <c r="K148" s="2" t="s">
        <v>1984</v>
      </c>
      <c r="L148" s="2" t="s">
        <v>41</v>
      </c>
      <c r="M148" s="7" t="s">
        <v>955</v>
      </c>
      <c r="N148" s="2" t="s">
        <v>3214</v>
      </c>
      <c r="O148" s="2"/>
      <c r="P148" s="2" t="s">
        <v>3173</v>
      </c>
      <c r="Q148" s="2" t="s">
        <v>3162</v>
      </c>
      <c r="R148" s="2" t="s">
        <v>3158</v>
      </c>
      <c r="S148" s="2" t="s">
        <v>2341</v>
      </c>
      <c r="T148" s="2" t="s">
        <v>2368</v>
      </c>
      <c r="U148" s="2" t="s">
        <v>818</v>
      </c>
      <c r="V148" s="2" t="s">
        <v>2438</v>
      </c>
      <c r="W148" s="2"/>
      <c r="Y148" t="str">
        <f>PROPER(Table1[[#This Row],[Industry]])</f>
        <v>Болничен Персонал</v>
      </c>
      <c r="Z148" t="str">
        <f>PROPER(Table1[[#This Row],[Insole]])</f>
        <v>Текстил, Антибактериална Стелка, Ортопедична Стелка,Сменяема Стелка</v>
      </c>
    </row>
    <row r="149" spans="1:26" ht="12.75" customHeight="1" x14ac:dyDescent="0.2">
      <c r="A149" s="2" t="s">
        <v>965</v>
      </c>
      <c r="B149" s="2" t="s">
        <v>966</v>
      </c>
      <c r="C149" s="2" t="s">
        <v>967</v>
      </c>
      <c r="D149" s="2" t="s">
        <v>2028</v>
      </c>
      <c r="E149" s="2" t="s">
        <v>2780</v>
      </c>
      <c r="F149" s="2"/>
      <c r="G149" s="2" t="s">
        <v>954</v>
      </c>
      <c r="H149" s="2" t="s">
        <v>536</v>
      </c>
      <c r="I149" s="2" t="s">
        <v>3111</v>
      </c>
      <c r="J149" s="2" t="s">
        <v>3192</v>
      </c>
      <c r="K149" s="2" t="s">
        <v>1984</v>
      </c>
      <c r="L149" s="2" t="s">
        <v>41</v>
      </c>
      <c r="M149" s="7" t="s">
        <v>955</v>
      </c>
      <c r="N149" s="2" t="s">
        <v>3337</v>
      </c>
      <c r="O149" s="2"/>
      <c r="P149" s="2" t="s">
        <v>3173</v>
      </c>
      <c r="Q149" s="2" t="s">
        <v>3162</v>
      </c>
      <c r="R149" s="2" t="s">
        <v>3158</v>
      </c>
      <c r="S149" s="2" t="s">
        <v>2341</v>
      </c>
      <c r="T149" s="2" t="s">
        <v>2367</v>
      </c>
      <c r="U149" s="2" t="s">
        <v>818</v>
      </c>
      <c r="V149" s="2" t="s">
        <v>2426</v>
      </c>
      <c r="W149" s="2"/>
      <c r="Y149" t="str">
        <f>PROPER(Table1[[#This Row],[Industry]])</f>
        <v>Хорека, Болничен Персонал, Фармацевтика</v>
      </c>
      <c r="Z149" t="str">
        <f>PROPER(Table1[[#This Row],[Insole]])</f>
        <v>Текстил, Антибактериална Стелка, Ортопедична Стелка,Сменяема Стелка</v>
      </c>
    </row>
    <row r="150" spans="1:26" ht="12.75" customHeight="1" x14ac:dyDescent="0.2">
      <c r="A150" s="2" t="s">
        <v>986</v>
      </c>
      <c r="B150" s="2" t="s">
        <v>987</v>
      </c>
      <c r="C150" s="2" t="s">
        <v>988</v>
      </c>
      <c r="D150" s="2" t="s">
        <v>2030</v>
      </c>
      <c r="E150" s="2" t="s">
        <v>2787</v>
      </c>
      <c r="F150" s="2"/>
      <c r="G150" s="2" t="s">
        <v>954</v>
      </c>
      <c r="H150" s="2" t="s">
        <v>536</v>
      </c>
      <c r="I150" s="2" t="s">
        <v>3110</v>
      </c>
      <c r="J150" s="2" t="s">
        <v>3192</v>
      </c>
      <c r="K150" s="2" t="s">
        <v>1984</v>
      </c>
      <c r="L150" s="2" t="s">
        <v>41</v>
      </c>
      <c r="M150" s="7" t="s">
        <v>955</v>
      </c>
      <c r="N150" s="2" t="s">
        <v>3214</v>
      </c>
      <c r="O150" s="2"/>
      <c r="P150" s="2" t="s">
        <v>3173</v>
      </c>
      <c r="Q150" s="2" t="s">
        <v>3162</v>
      </c>
      <c r="R150" s="2" t="s">
        <v>3158</v>
      </c>
      <c r="S150" s="2" t="s">
        <v>2341</v>
      </c>
      <c r="T150" s="2" t="s">
        <v>2367</v>
      </c>
      <c r="U150" s="2" t="s">
        <v>91</v>
      </c>
      <c r="V150" s="2" t="s">
        <v>2447</v>
      </c>
      <c r="W150" s="2"/>
      <c r="Y150" t="str">
        <f>PROPER(Table1[[#This Row],[Industry]])</f>
        <v>Гастрономия / Кухня</v>
      </c>
      <c r="Z150" t="str">
        <f>PROPER(Table1[[#This Row],[Insole]])</f>
        <v>Текстил, Антибактериална Стелка, Ортопедична Стелка,Сменяема Стелка</v>
      </c>
    </row>
    <row r="151" spans="1:26" ht="12.75" customHeight="1" x14ac:dyDescent="0.2">
      <c r="A151" s="2" t="s">
        <v>1002</v>
      </c>
      <c r="B151" s="2" t="s">
        <v>1003</v>
      </c>
      <c r="C151" s="2" t="s">
        <v>1004</v>
      </c>
      <c r="D151" s="2" t="s">
        <v>2032</v>
      </c>
      <c r="E151" s="2" t="s">
        <v>2792</v>
      </c>
      <c r="F151" s="2"/>
      <c r="G151" s="2" t="s">
        <v>954</v>
      </c>
      <c r="H151" s="2" t="s">
        <v>536</v>
      </c>
      <c r="I151" s="2" t="s">
        <v>3110</v>
      </c>
      <c r="J151" s="2" t="s">
        <v>3192</v>
      </c>
      <c r="K151" s="2" t="s">
        <v>1984</v>
      </c>
      <c r="L151" s="2" t="s">
        <v>41</v>
      </c>
      <c r="M151" s="7" t="s">
        <v>955</v>
      </c>
      <c r="N151" s="2" t="s">
        <v>3214</v>
      </c>
      <c r="O151" s="2"/>
      <c r="P151" s="2" t="s">
        <v>3173</v>
      </c>
      <c r="Q151" s="2" t="s">
        <v>3162</v>
      </c>
      <c r="R151" s="2" t="s">
        <v>3158</v>
      </c>
      <c r="S151" s="2" t="s">
        <v>2341</v>
      </c>
      <c r="T151" s="2" t="s">
        <v>2367</v>
      </c>
      <c r="U151" s="2" t="s">
        <v>91</v>
      </c>
      <c r="V151" s="2" t="s">
        <v>2435</v>
      </c>
      <c r="W151" s="2"/>
      <c r="Y151" t="str">
        <f>PROPER(Table1[[#This Row],[Industry]])</f>
        <v>Гастрономия / Кухня</v>
      </c>
      <c r="Z151" t="str">
        <f>PROPER(Table1[[#This Row],[Insole]])</f>
        <v>Текстил, Антибактериална Стелка, Ортопедична Стелка,Сменяема Стелка</v>
      </c>
    </row>
    <row r="152" spans="1:26" ht="12.75" customHeight="1" x14ac:dyDescent="0.2">
      <c r="A152" s="2" t="s">
        <v>1020</v>
      </c>
      <c r="B152" s="2" t="s">
        <v>1021</v>
      </c>
      <c r="C152" s="2" t="s">
        <v>1022</v>
      </c>
      <c r="D152" s="2" t="s">
        <v>2033</v>
      </c>
      <c r="E152" s="2" t="s">
        <v>2798</v>
      </c>
      <c r="F152" s="2"/>
      <c r="G152" s="2" t="s">
        <v>954</v>
      </c>
      <c r="H152" s="2" t="s">
        <v>536</v>
      </c>
      <c r="I152" s="2" t="s">
        <v>3110</v>
      </c>
      <c r="J152" s="2" t="s">
        <v>3192</v>
      </c>
      <c r="K152" s="2" t="s">
        <v>1984</v>
      </c>
      <c r="L152" s="2" t="s">
        <v>41</v>
      </c>
      <c r="M152" s="7" t="s">
        <v>955</v>
      </c>
      <c r="N152" s="2" t="s">
        <v>3214</v>
      </c>
      <c r="O152" s="2"/>
      <c r="P152" s="2" t="s">
        <v>3173</v>
      </c>
      <c r="Q152" s="2" t="s">
        <v>3162</v>
      </c>
      <c r="R152" s="2" t="s">
        <v>3158</v>
      </c>
      <c r="S152" s="2" t="s">
        <v>2341</v>
      </c>
      <c r="T152" s="2" t="s">
        <v>2367</v>
      </c>
      <c r="U152" s="2" t="s">
        <v>91</v>
      </c>
      <c r="V152" s="2" t="s">
        <v>2435</v>
      </c>
      <c r="W152" s="2"/>
      <c r="Y152" t="str">
        <f>PROPER(Table1[[#This Row],[Industry]])</f>
        <v>Гастрономия / Кухня</v>
      </c>
      <c r="Z152" t="str">
        <f>PROPER(Table1[[#This Row],[Insole]])</f>
        <v>Текстил, Антибактериална Стелка, Ортопедична Стелка,Сменяема Стелка</v>
      </c>
    </row>
    <row r="153" spans="1:26" ht="12.75" customHeight="1" x14ac:dyDescent="0.2">
      <c r="A153" s="2" t="s">
        <v>1023</v>
      </c>
      <c r="B153" s="2" t="s">
        <v>1024</v>
      </c>
      <c r="C153" s="2" t="s">
        <v>1025</v>
      </c>
      <c r="D153" s="2" t="s">
        <v>2034</v>
      </c>
      <c r="E153" s="2" t="s">
        <v>2799</v>
      </c>
      <c r="F153" s="2"/>
      <c r="G153" s="2" t="s">
        <v>954</v>
      </c>
      <c r="H153" s="2" t="s">
        <v>536</v>
      </c>
      <c r="I153" s="2" t="s">
        <v>3110</v>
      </c>
      <c r="J153" s="2" t="s">
        <v>3192</v>
      </c>
      <c r="K153" s="2" t="s">
        <v>1984</v>
      </c>
      <c r="L153" s="2" t="s">
        <v>41</v>
      </c>
      <c r="M153" s="7" t="s">
        <v>955</v>
      </c>
      <c r="N153" s="2" t="s">
        <v>3214</v>
      </c>
      <c r="O153" s="2"/>
      <c r="P153" s="2" t="s">
        <v>3173</v>
      </c>
      <c r="Q153" s="2" t="s">
        <v>3162</v>
      </c>
      <c r="R153" s="2" t="s">
        <v>3158</v>
      </c>
      <c r="S153" s="2" t="s">
        <v>2341</v>
      </c>
      <c r="T153" s="2" t="s">
        <v>2367</v>
      </c>
      <c r="U153" s="2" t="s">
        <v>91</v>
      </c>
      <c r="V153" s="2" t="s">
        <v>2435</v>
      </c>
      <c r="W153" s="2"/>
      <c r="Y153" t="str">
        <f>PROPER(Table1[[#This Row],[Industry]])</f>
        <v>Гастрономия / Кухня</v>
      </c>
      <c r="Z153" t="str">
        <f>PROPER(Table1[[#This Row],[Insole]])</f>
        <v>Текстил, Антибактериална Стелка, Ортопедична Стелка,Сменяема Стелка</v>
      </c>
    </row>
    <row r="154" spans="1:26" ht="12.75" customHeight="1" x14ac:dyDescent="0.2">
      <c r="A154" s="2" t="s">
        <v>1026</v>
      </c>
      <c r="B154" s="2" t="s">
        <v>1027</v>
      </c>
      <c r="C154" s="2" t="s">
        <v>1028</v>
      </c>
      <c r="D154" s="2" t="s">
        <v>2035</v>
      </c>
      <c r="E154" s="2" t="s">
        <v>2800</v>
      </c>
      <c r="F154" s="2"/>
      <c r="G154" s="2" t="s">
        <v>954</v>
      </c>
      <c r="H154" s="2" t="s">
        <v>536</v>
      </c>
      <c r="I154" s="2" t="s">
        <v>3116</v>
      </c>
      <c r="J154" s="2" t="s">
        <v>3192</v>
      </c>
      <c r="K154" s="2" t="s">
        <v>1984</v>
      </c>
      <c r="L154" s="2" t="s">
        <v>41</v>
      </c>
      <c r="M154" s="7" t="s">
        <v>955</v>
      </c>
      <c r="N154" s="2" t="s">
        <v>3214</v>
      </c>
      <c r="O154" s="2"/>
      <c r="P154" s="2" t="s">
        <v>3173</v>
      </c>
      <c r="Q154" s="2" t="s">
        <v>3162</v>
      </c>
      <c r="R154" s="2" t="s">
        <v>3158</v>
      </c>
      <c r="S154" s="2" t="s">
        <v>2341</v>
      </c>
      <c r="T154" s="2" t="s">
        <v>2367</v>
      </c>
      <c r="U154" s="2" t="s">
        <v>91</v>
      </c>
      <c r="V154" s="2" t="s">
        <v>2435</v>
      </c>
      <c r="W154" s="2"/>
      <c r="Y154" t="str">
        <f>PROPER(Table1[[#This Row],[Industry]])</f>
        <v>Хорека</v>
      </c>
      <c r="Z154" t="str">
        <f>PROPER(Table1[[#This Row],[Insole]])</f>
        <v>Текстил, Антибактериална Стелка, Ортопедична Стелка,Сменяема Стелка</v>
      </c>
    </row>
    <row r="155" spans="1:26" ht="12.75" customHeight="1" x14ac:dyDescent="0.2">
      <c r="A155" s="2" t="s">
        <v>1436</v>
      </c>
      <c r="B155" s="2" t="s">
        <v>1437</v>
      </c>
      <c r="C155" s="2" t="s">
        <v>1438</v>
      </c>
      <c r="D155" s="2" t="s">
        <v>2069</v>
      </c>
      <c r="E155" s="2" t="s">
        <v>2931</v>
      </c>
      <c r="F155" s="2"/>
      <c r="G155" s="2" t="s">
        <v>954</v>
      </c>
      <c r="H155" s="2" t="s">
        <v>536</v>
      </c>
      <c r="I155" s="2" t="s">
        <v>3110</v>
      </c>
      <c r="J155" s="2" t="s">
        <v>3192</v>
      </c>
      <c r="K155" s="2" t="s">
        <v>1984</v>
      </c>
      <c r="L155" s="2" t="s">
        <v>41</v>
      </c>
      <c r="M155" s="7" t="s">
        <v>955</v>
      </c>
      <c r="N155" s="2" t="s">
        <v>3214</v>
      </c>
      <c r="O155" s="2"/>
      <c r="P155" s="2" t="s">
        <v>3173</v>
      </c>
      <c r="Q155" s="2" t="s">
        <v>3162</v>
      </c>
      <c r="R155" s="2" t="s">
        <v>3158</v>
      </c>
      <c r="S155" s="2" t="s">
        <v>2341</v>
      </c>
      <c r="T155" s="2" t="s">
        <v>2367</v>
      </c>
      <c r="U155" s="2" t="s">
        <v>91</v>
      </c>
      <c r="V155" s="2" t="s">
        <v>2435</v>
      </c>
      <c r="W155" s="2"/>
      <c r="Y155" t="str">
        <f>PROPER(Table1[[#This Row],[Industry]])</f>
        <v>Гастрономия / Кухня</v>
      </c>
      <c r="Z155" t="str">
        <f>PROPER(Table1[[#This Row],[Insole]])</f>
        <v>Текстил, Антибактериална Стелка, Ортопедична Стелка,Сменяема Стелка</v>
      </c>
    </row>
    <row r="156" spans="1:26" ht="12.75" customHeight="1" x14ac:dyDescent="0.2">
      <c r="A156" s="2" t="s">
        <v>1445</v>
      </c>
      <c r="B156" s="2" t="s">
        <v>1446</v>
      </c>
      <c r="C156" s="2" t="s">
        <v>1447</v>
      </c>
      <c r="D156" s="2" t="s">
        <v>2070</v>
      </c>
      <c r="E156" s="2" t="s">
        <v>2934</v>
      </c>
      <c r="F156" s="2"/>
      <c r="G156" s="2" t="s">
        <v>954</v>
      </c>
      <c r="H156" s="2" t="s">
        <v>536</v>
      </c>
      <c r="I156" s="2" t="s">
        <v>3115</v>
      </c>
      <c r="J156" s="2" t="s">
        <v>3192</v>
      </c>
      <c r="K156" s="2" t="s">
        <v>1984</v>
      </c>
      <c r="L156" s="2" t="s">
        <v>41</v>
      </c>
      <c r="M156" s="7" t="s">
        <v>955</v>
      </c>
      <c r="N156" s="2" t="s">
        <v>3214</v>
      </c>
      <c r="O156" s="2"/>
      <c r="P156" s="2" t="s">
        <v>3173</v>
      </c>
      <c r="Q156" s="2" t="s">
        <v>3162</v>
      </c>
      <c r="R156" s="2" t="s">
        <v>3158</v>
      </c>
      <c r="S156" s="2" t="s">
        <v>2341</v>
      </c>
      <c r="T156" s="2" t="s">
        <v>2367</v>
      </c>
      <c r="U156" s="2" t="s">
        <v>91</v>
      </c>
      <c r="V156" s="2" t="s">
        <v>2372</v>
      </c>
      <c r="W156" s="2"/>
      <c r="Y156" t="str">
        <f>PROPER(Table1[[#This Row],[Industry]])</f>
        <v>Хранително-Вкусова Индустрия, Гастрономия / Кухня, Хорека, Болничен Персонал, Фармацевтика</v>
      </c>
      <c r="Z156" t="str">
        <f>PROPER(Table1[[#This Row],[Insole]])</f>
        <v>Текстил, Антибактериална Стелка, Ортопедична Стелка,Сменяема Стелка</v>
      </c>
    </row>
    <row r="157" spans="1:26" ht="12.75" customHeight="1" x14ac:dyDescent="0.2">
      <c r="A157" s="2" t="s">
        <v>1448</v>
      </c>
      <c r="B157" s="2" t="s">
        <v>1449</v>
      </c>
      <c r="C157" s="2" t="s">
        <v>1450</v>
      </c>
      <c r="D157" s="2" t="s">
        <v>2071</v>
      </c>
      <c r="E157" s="2" t="s">
        <v>2935</v>
      </c>
      <c r="F157" s="2"/>
      <c r="G157" s="2" t="s">
        <v>954</v>
      </c>
      <c r="H157" s="2" t="s">
        <v>536</v>
      </c>
      <c r="I157" s="2" t="s">
        <v>3115</v>
      </c>
      <c r="J157" s="2" t="s">
        <v>3192</v>
      </c>
      <c r="K157" s="2" t="s">
        <v>1984</v>
      </c>
      <c r="L157" s="2" t="s">
        <v>41</v>
      </c>
      <c r="M157" s="7" t="s">
        <v>955</v>
      </c>
      <c r="N157" s="2" t="s">
        <v>3214</v>
      </c>
      <c r="O157" s="2"/>
      <c r="P157" s="2" t="s">
        <v>3173</v>
      </c>
      <c r="Q157" s="2" t="s">
        <v>3162</v>
      </c>
      <c r="R157" s="2" t="s">
        <v>3158</v>
      </c>
      <c r="S157" s="2" t="s">
        <v>2341</v>
      </c>
      <c r="T157" s="2" t="s">
        <v>2367</v>
      </c>
      <c r="U157" s="2" t="s">
        <v>91</v>
      </c>
      <c r="V157" s="2" t="s">
        <v>2372</v>
      </c>
      <c r="W157" s="2"/>
      <c r="Y157" t="str">
        <f>PROPER(Table1[[#This Row],[Industry]])</f>
        <v>Хранително-Вкусова Индустрия, Гастрономия / Кухня, Хорека, Болничен Персонал, Фармацевтика</v>
      </c>
      <c r="Z157" t="str">
        <f>PROPER(Table1[[#This Row],[Insole]])</f>
        <v>Текстил, Антибактериална Стелка, Ортопедична Стелка,Сменяема Стелка</v>
      </c>
    </row>
    <row r="158" spans="1:26" ht="12.75" customHeight="1" x14ac:dyDescent="0.2">
      <c r="A158" s="2" t="s">
        <v>1008</v>
      </c>
      <c r="B158" s="2" t="s">
        <v>1009</v>
      </c>
      <c r="C158" s="2" t="s">
        <v>1010</v>
      </c>
      <c r="D158" s="2" t="s">
        <v>2120</v>
      </c>
      <c r="E158" s="2" t="s">
        <v>2794</v>
      </c>
      <c r="F158" s="2"/>
      <c r="G158" s="2" t="s">
        <v>954</v>
      </c>
      <c r="H158" s="2" t="s">
        <v>536</v>
      </c>
      <c r="I158" s="2" t="s">
        <v>3110</v>
      </c>
      <c r="J158" s="2" t="s">
        <v>3192</v>
      </c>
      <c r="K158" s="2" t="s">
        <v>2104</v>
      </c>
      <c r="L158" s="2" t="s">
        <v>41</v>
      </c>
      <c r="M158" s="7" t="s">
        <v>955</v>
      </c>
      <c r="N158" s="2" t="s">
        <v>3214</v>
      </c>
      <c r="O158" s="2"/>
      <c r="P158" s="2" t="s">
        <v>3173</v>
      </c>
      <c r="Q158" s="2" t="s">
        <v>3162</v>
      </c>
      <c r="R158" s="2" t="s">
        <v>3158</v>
      </c>
      <c r="S158" s="2" t="s">
        <v>2341</v>
      </c>
      <c r="T158" s="2" t="s">
        <v>2367</v>
      </c>
      <c r="U158" s="2" t="s">
        <v>91</v>
      </c>
      <c r="V158" s="2" t="s">
        <v>2435</v>
      </c>
      <c r="W158" s="2"/>
      <c r="Y158" t="str">
        <f>PROPER(Table1[[#This Row],[Industry]])</f>
        <v>Гастрономия / Кухня</v>
      </c>
      <c r="Z158" t="str">
        <f>PROPER(Table1[[#This Row],[Insole]])</f>
        <v>Текстил, Антибактериална Стелка, Ортопедична Стелка,Сменяема Стелка</v>
      </c>
    </row>
    <row r="159" spans="1:26" ht="12.75" customHeight="1" x14ac:dyDescent="0.2">
      <c r="A159" s="2" t="s">
        <v>1011</v>
      </c>
      <c r="B159" s="2" t="s">
        <v>1012</v>
      </c>
      <c r="C159" s="2" t="s">
        <v>1013</v>
      </c>
      <c r="D159" s="2" t="s">
        <v>2121</v>
      </c>
      <c r="E159" s="2" t="s">
        <v>2795</v>
      </c>
      <c r="F159" s="2"/>
      <c r="G159" s="2" t="s">
        <v>954</v>
      </c>
      <c r="H159" s="2" t="s">
        <v>536</v>
      </c>
      <c r="I159" s="2" t="s">
        <v>3110</v>
      </c>
      <c r="J159" s="2" t="s">
        <v>3192</v>
      </c>
      <c r="K159" s="2" t="s">
        <v>2104</v>
      </c>
      <c r="L159" s="2" t="s">
        <v>41</v>
      </c>
      <c r="M159" s="7" t="s">
        <v>955</v>
      </c>
      <c r="N159" s="2" t="s">
        <v>3214</v>
      </c>
      <c r="O159" s="2"/>
      <c r="P159" s="2" t="s">
        <v>3173</v>
      </c>
      <c r="Q159" s="2" t="s">
        <v>3162</v>
      </c>
      <c r="R159" s="2" t="s">
        <v>3158</v>
      </c>
      <c r="S159" s="2" t="s">
        <v>2341</v>
      </c>
      <c r="T159" s="2" t="s">
        <v>2367</v>
      </c>
      <c r="U159" s="2" t="s">
        <v>91</v>
      </c>
      <c r="V159" s="2" t="s">
        <v>2435</v>
      </c>
      <c r="W159" s="2"/>
      <c r="Y159" t="str">
        <f>PROPER(Table1[[#This Row],[Industry]])</f>
        <v>Гастрономия / Кухня</v>
      </c>
      <c r="Z159" t="str">
        <f>PROPER(Table1[[#This Row],[Insole]])</f>
        <v>Текстил, Антибактериална Стелка, Ортопедична Стелка,Сменяема Стелка</v>
      </c>
    </row>
    <row r="160" spans="1:26" ht="12.75" customHeight="1" x14ac:dyDescent="0.2">
      <c r="A160" s="2" t="s">
        <v>1014</v>
      </c>
      <c r="B160" s="2" t="s">
        <v>1015</v>
      </c>
      <c r="C160" s="2" t="s">
        <v>1016</v>
      </c>
      <c r="D160" s="2" t="s">
        <v>2122</v>
      </c>
      <c r="E160" s="2" t="s">
        <v>2796</v>
      </c>
      <c r="F160" s="2"/>
      <c r="G160" s="2" t="s">
        <v>954</v>
      </c>
      <c r="H160" s="2" t="s">
        <v>536</v>
      </c>
      <c r="I160" s="2" t="s">
        <v>3110</v>
      </c>
      <c r="J160" s="2" t="s">
        <v>3192</v>
      </c>
      <c r="K160" s="2" t="s">
        <v>2104</v>
      </c>
      <c r="L160" s="2" t="s">
        <v>41</v>
      </c>
      <c r="M160" s="7" t="s">
        <v>955</v>
      </c>
      <c r="N160" s="2" t="s">
        <v>3214</v>
      </c>
      <c r="O160" s="2"/>
      <c r="P160" s="2" t="s">
        <v>3173</v>
      </c>
      <c r="Q160" s="2" t="s">
        <v>3162</v>
      </c>
      <c r="R160" s="2" t="s">
        <v>3158</v>
      </c>
      <c r="S160" s="2" t="s">
        <v>2341</v>
      </c>
      <c r="T160" s="2" t="s">
        <v>2367</v>
      </c>
      <c r="U160" s="2" t="s">
        <v>91</v>
      </c>
      <c r="V160" s="2" t="s">
        <v>2435</v>
      </c>
      <c r="W160" s="2"/>
      <c r="Y160" t="str">
        <f>PROPER(Table1[[#This Row],[Industry]])</f>
        <v>Гастрономия / Кухня</v>
      </c>
      <c r="Z160" t="str">
        <f>PROPER(Table1[[#This Row],[Insole]])</f>
        <v>Текстил, Антибактериална Стелка, Ортопедична Стелка,Сменяема Стелка</v>
      </c>
    </row>
    <row r="161" spans="1:26" ht="12.75" customHeight="1" x14ac:dyDescent="0.2">
      <c r="A161" s="2" t="s">
        <v>1017</v>
      </c>
      <c r="B161" s="2" t="s">
        <v>1018</v>
      </c>
      <c r="C161" s="2" t="s">
        <v>1019</v>
      </c>
      <c r="D161" s="2" t="s">
        <v>2123</v>
      </c>
      <c r="E161" s="2" t="s">
        <v>2797</v>
      </c>
      <c r="F161" s="2"/>
      <c r="G161" s="2" t="s">
        <v>954</v>
      </c>
      <c r="H161" s="2" t="s">
        <v>536</v>
      </c>
      <c r="I161" s="2" t="s">
        <v>3110</v>
      </c>
      <c r="J161" s="2" t="s">
        <v>3192</v>
      </c>
      <c r="K161" s="2" t="s">
        <v>2104</v>
      </c>
      <c r="L161" s="2" t="s">
        <v>41</v>
      </c>
      <c r="M161" s="7" t="s">
        <v>955</v>
      </c>
      <c r="N161" s="2" t="s">
        <v>3214</v>
      </c>
      <c r="O161" s="2"/>
      <c r="P161" s="2" t="s">
        <v>3173</v>
      </c>
      <c r="Q161" s="2" t="s">
        <v>3162</v>
      </c>
      <c r="R161" s="2" t="s">
        <v>3158</v>
      </c>
      <c r="S161" s="2" t="s">
        <v>2341</v>
      </c>
      <c r="T161" s="2" t="s">
        <v>2367</v>
      </c>
      <c r="U161" s="2" t="s">
        <v>91</v>
      </c>
      <c r="V161" s="2" t="s">
        <v>2435</v>
      </c>
      <c r="W161" s="2"/>
      <c r="Y161" t="str">
        <f>PROPER(Table1[[#This Row],[Industry]])</f>
        <v>Гастрономия / Кухня</v>
      </c>
      <c r="Z161" t="str">
        <f>PROPER(Table1[[#This Row],[Insole]])</f>
        <v>Текстил, Антибактериална Стелка, Ортопедична Стелка,Сменяема Стелка</v>
      </c>
    </row>
    <row r="162" spans="1:26" ht="12.75" customHeight="1" x14ac:dyDescent="0.2">
      <c r="A162" s="2" t="s">
        <v>980</v>
      </c>
      <c r="B162" s="2" t="s">
        <v>981</v>
      </c>
      <c r="C162" s="2" t="s">
        <v>982</v>
      </c>
      <c r="D162" s="2" t="s">
        <v>1901</v>
      </c>
      <c r="E162" s="2" t="s">
        <v>2785</v>
      </c>
      <c r="F162" s="2"/>
      <c r="G162" s="2" t="s">
        <v>954</v>
      </c>
      <c r="H162" s="2" t="s">
        <v>536</v>
      </c>
      <c r="I162" s="2" t="s">
        <v>3110</v>
      </c>
      <c r="J162" s="2" t="s">
        <v>3192</v>
      </c>
      <c r="K162" s="2" t="s">
        <v>1787</v>
      </c>
      <c r="L162" s="2" t="s">
        <v>41</v>
      </c>
      <c r="M162" s="7" t="s">
        <v>955</v>
      </c>
      <c r="N162" s="2" t="s">
        <v>3214</v>
      </c>
      <c r="O162" s="2"/>
      <c r="P162" s="2" t="s">
        <v>3173</v>
      </c>
      <c r="Q162" s="2" t="s">
        <v>3162</v>
      </c>
      <c r="R162" s="2" t="s">
        <v>3158</v>
      </c>
      <c r="S162" s="2" t="s">
        <v>2341</v>
      </c>
      <c r="T162" s="2" t="s">
        <v>2367</v>
      </c>
      <c r="U162" s="2" t="s">
        <v>91</v>
      </c>
      <c r="V162" s="2" t="s">
        <v>2447</v>
      </c>
      <c r="W162" s="2"/>
      <c r="Y162" t="str">
        <f>PROPER(Table1[[#This Row],[Industry]])</f>
        <v>Гастрономия / Кухня</v>
      </c>
      <c r="Z162" t="str">
        <f>PROPER(Table1[[#This Row],[Insole]])</f>
        <v>Текстил, Антибактериална Стелка, Ортопедична Стелка,Сменяема Стелка</v>
      </c>
    </row>
    <row r="163" spans="1:26" ht="12.75" customHeight="1" x14ac:dyDescent="0.2">
      <c r="A163" s="2" t="s">
        <v>983</v>
      </c>
      <c r="B163" s="2" t="s">
        <v>984</v>
      </c>
      <c r="C163" s="2" t="s">
        <v>985</v>
      </c>
      <c r="D163" s="2" t="s">
        <v>1902</v>
      </c>
      <c r="E163" s="2" t="s">
        <v>2786</v>
      </c>
      <c r="F163" s="2"/>
      <c r="G163" s="2" t="s">
        <v>954</v>
      </c>
      <c r="H163" s="2" t="s">
        <v>536</v>
      </c>
      <c r="I163" s="2" t="s">
        <v>3110</v>
      </c>
      <c r="J163" s="2" t="s">
        <v>3192</v>
      </c>
      <c r="K163" s="2" t="s">
        <v>1787</v>
      </c>
      <c r="L163" s="2" t="s">
        <v>41</v>
      </c>
      <c r="M163" s="7" t="s">
        <v>955</v>
      </c>
      <c r="N163" s="2" t="s">
        <v>3214</v>
      </c>
      <c r="O163" s="2"/>
      <c r="P163" s="2" t="s">
        <v>3173</v>
      </c>
      <c r="Q163" s="2" t="s">
        <v>3162</v>
      </c>
      <c r="R163" s="2" t="s">
        <v>3158</v>
      </c>
      <c r="S163" s="2" t="s">
        <v>2341</v>
      </c>
      <c r="T163" s="2" t="s">
        <v>2367</v>
      </c>
      <c r="U163" s="2" t="s">
        <v>91</v>
      </c>
      <c r="V163" s="2" t="s">
        <v>2447</v>
      </c>
      <c r="W163" s="2"/>
      <c r="Y163" t="str">
        <f>PROPER(Table1[[#This Row],[Industry]])</f>
        <v>Гастрономия / Кухня</v>
      </c>
      <c r="Z163" t="str">
        <f>PROPER(Table1[[#This Row],[Insole]])</f>
        <v>Текстил, Антибактериална Стелка, Ортопедична Стелка,Сменяема Стелка</v>
      </c>
    </row>
    <row r="164" spans="1:26" ht="12.75" customHeight="1" x14ac:dyDescent="0.2">
      <c r="A164" s="2" t="s">
        <v>1005</v>
      </c>
      <c r="B164" s="2" t="s">
        <v>1006</v>
      </c>
      <c r="C164" s="2" t="s">
        <v>1007</v>
      </c>
      <c r="D164" s="2" t="s">
        <v>1905</v>
      </c>
      <c r="E164" s="2" t="s">
        <v>2793</v>
      </c>
      <c r="F164" s="2"/>
      <c r="G164" s="2" t="s">
        <v>954</v>
      </c>
      <c r="H164" s="2" t="s">
        <v>536</v>
      </c>
      <c r="I164" s="2" t="s">
        <v>3116</v>
      </c>
      <c r="J164" s="2" t="s">
        <v>3192</v>
      </c>
      <c r="K164" s="2" t="s">
        <v>1787</v>
      </c>
      <c r="L164" s="2" t="s">
        <v>41</v>
      </c>
      <c r="M164" s="7" t="s">
        <v>955</v>
      </c>
      <c r="N164" s="2" t="s">
        <v>3214</v>
      </c>
      <c r="O164" s="2"/>
      <c r="P164" s="2" t="s">
        <v>3173</v>
      </c>
      <c r="Q164" s="2" t="s">
        <v>3162</v>
      </c>
      <c r="R164" s="2" t="s">
        <v>3158</v>
      </c>
      <c r="S164" s="2" t="s">
        <v>2341</v>
      </c>
      <c r="T164" s="2" t="s">
        <v>2367</v>
      </c>
      <c r="U164" s="2" t="s">
        <v>91</v>
      </c>
      <c r="V164" s="2" t="s">
        <v>2435</v>
      </c>
      <c r="W164" s="2"/>
      <c r="Y164" t="str">
        <f>PROPER(Table1[[#This Row],[Industry]])</f>
        <v>Хорека</v>
      </c>
      <c r="Z164" t="str">
        <f>PROPER(Table1[[#This Row],[Insole]])</f>
        <v>Текстил, Антибактериална Стелка, Ортопедична Стелка,Сменяема Стелка</v>
      </c>
    </row>
    <row r="165" spans="1:26" ht="12.75" customHeight="1" x14ac:dyDescent="0.2">
      <c r="A165" s="2" t="s">
        <v>1430</v>
      </c>
      <c r="B165" s="2" t="s">
        <v>1431</v>
      </c>
      <c r="C165" s="2" t="s">
        <v>1432</v>
      </c>
      <c r="D165" s="2" t="s">
        <v>1948</v>
      </c>
      <c r="E165" s="2" t="s">
        <v>2929</v>
      </c>
      <c r="F165" s="2"/>
      <c r="G165" s="2" t="s">
        <v>954</v>
      </c>
      <c r="H165" s="2" t="s">
        <v>536</v>
      </c>
      <c r="I165" s="2" t="s">
        <v>3110</v>
      </c>
      <c r="J165" s="2" t="s">
        <v>3192</v>
      </c>
      <c r="K165" s="2" t="s">
        <v>1787</v>
      </c>
      <c r="L165" s="2" t="s">
        <v>41</v>
      </c>
      <c r="M165" s="7" t="s">
        <v>955</v>
      </c>
      <c r="N165" s="2" t="s">
        <v>3214</v>
      </c>
      <c r="O165" s="2"/>
      <c r="P165" s="2" t="s">
        <v>3173</v>
      </c>
      <c r="Q165" s="2" t="s">
        <v>3162</v>
      </c>
      <c r="R165" s="2" t="s">
        <v>3158</v>
      </c>
      <c r="S165" s="2" t="s">
        <v>2341</v>
      </c>
      <c r="T165" s="2" t="s">
        <v>2367</v>
      </c>
      <c r="U165" s="2" t="s">
        <v>91</v>
      </c>
      <c r="V165" s="2" t="s">
        <v>2435</v>
      </c>
      <c r="W165" s="2"/>
      <c r="Y165" t="str">
        <f>PROPER(Table1[[#This Row],[Industry]])</f>
        <v>Гастрономия / Кухня</v>
      </c>
      <c r="Z165" t="str">
        <f>PROPER(Table1[[#This Row],[Insole]])</f>
        <v>Текстил, Антибактериална Стелка, Ортопедична Стелка,Сменяема Стелка</v>
      </c>
    </row>
    <row r="166" spans="1:26" ht="12.75" customHeight="1" x14ac:dyDescent="0.2">
      <c r="A166" s="2" t="s">
        <v>1433</v>
      </c>
      <c r="B166" s="2" t="s">
        <v>1434</v>
      </c>
      <c r="C166" s="2" t="s">
        <v>1435</v>
      </c>
      <c r="D166" s="2" t="s">
        <v>1949</v>
      </c>
      <c r="E166" s="2" t="s">
        <v>2930</v>
      </c>
      <c r="F166" s="2"/>
      <c r="G166" s="2" t="s">
        <v>954</v>
      </c>
      <c r="H166" s="2" t="s">
        <v>536</v>
      </c>
      <c r="I166" s="2" t="s">
        <v>3116</v>
      </c>
      <c r="J166" s="2" t="s">
        <v>3192</v>
      </c>
      <c r="K166" s="2" t="s">
        <v>1787</v>
      </c>
      <c r="L166" s="2" t="s">
        <v>41</v>
      </c>
      <c r="M166" s="7" t="s">
        <v>955</v>
      </c>
      <c r="N166" s="2" t="s">
        <v>3214</v>
      </c>
      <c r="O166" s="2"/>
      <c r="P166" s="2" t="s">
        <v>3173</v>
      </c>
      <c r="Q166" s="2" t="s">
        <v>3162</v>
      </c>
      <c r="R166" s="2" t="s">
        <v>3158</v>
      </c>
      <c r="S166" s="2" t="s">
        <v>2341</v>
      </c>
      <c r="T166" s="2" t="s">
        <v>2367</v>
      </c>
      <c r="U166" s="2" t="s">
        <v>91</v>
      </c>
      <c r="V166" s="2" t="s">
        <v>2447</v>
      </c>
      <c r="W166" s="2"/>
      <c r="Y166" t="str">
        <f>PROPER(Table1[[#This Row],[Industry]])</f>
        <v>Хорека</v>
      </c>
      <c r="Z166" t="str">
        <f>PROPER(Table1[[#This Row],[Insole]])</f>
        <v>Текстил, Антибактериална Стелка, Ортопедична Стелка,Сменяема Стелка</v>
      </c>
    </row>
    <row r="167" spans="1:26" ht="12.75" customHeight="1" x14ac:dyDescent="0.2">
      <c r="A167" s="2" t="s">
        <v>1439</v>
      </c>
      <c r="B167" s="2" t="s">
        <v>1440</v>
      </c>
      <c r="C167" s="2" t="s">
        <v>1441</v>
      </c>
      <c r="D167" s="2" t="s">
        <v>1950</v>
      </c>
      <c r="E167" s="2" t="s">
        <v>2932</v>
      </c>
      <c r="F167" s="2"/>
      <c r="G167" s="2" t="s">
        <v>954</v>
      </c>
      <c r="H167" s="2" t="s">
        <v>536</v>
      </c>
      <c r="I167" s="2" t="s">
        <v>3152</v>
      </c>
      <c r="J167" s="2" t="s">
        <v>3192</v>
      </c>
      <c r="K167" s="2" t="s">
        <v>1787</v>
      </c>
      <c r="L167" s="2" t="s">
        <v>41</v>
      </c>
      <c r="M167" s="7" t="s">
        <v>955</v>
      </c>
      <c r="N167" s="2" t="s">
        <v>3336</v>
      </c>
      <c r="O167" s="2"/>
      <c r="P167" s="2" t="s">
        <v>3182</v>
      </c>
      <c r="Q167" s="2" t="s">
        <v>3162</v>
      </c>
      <c r="R167" s="2" t="s">
        <v>3158</v>
      </c>
      <c r="S167" s="2" t="s">
        <v>2341</v>
      </c>
      <c r="T167" s="2" t="s">
        <v>2367</v>
      </c>
      <c r="U167" s="2" t="s">
        <v>91</v>
      </c>
      <c r="V167" s="2" t="s">
        <v>2447</v>
      </c>
      <c r="W167" s="2"/>
      <c r="Y167" t="str">
        <f>PROPER(Table1[[#This Row],[Industry]])</f>
        <v>Гастрономия / Кухня, Хорека</v>
      </c>
      <c r="Z167" t="str">
        <f>PROPER(Table1[[#This Row],[Insole]])</f>
        <v>Текстил, Антибактериална Стелка, Ортопедична Стелка,Сменяема Стелка</v>
      </c>
    </row>
    <row r="168" spans="1:26" ht="12.75" customHeight="1" x14ac:dyDescent="0.2">
      <c r="A168" s="2" t="s">
        <v>995</v>
      </c>
      <c r="B168" s="2" t="s">
        <v>996</v>
      </c>
      <c r="C168" s="2" t="s">
        <v>997</v>
      </c>
      <c r="D168" s="2" t="s">
        <v>2031</v>
      </c>
      <c r="E168" s="2" t="s">
        <v>2790</v>
      </c>
      <c r="F168" s="2"/>
      <c r="G168" s="2" t="s">
        <v>954</v>
      </c>
      <c r="H168" s="2" t="s">
        <v>536</v>
      </c>
      <c r="I168" s="2" t="s">
        <v>3116</v>
      </c>
      <c r="J168" s="2" t="s">
        <v>3192</v>
      </c>
      <c r="K168" s="2" t="s">
        <v>1984</v>
      </c>
      <c r="L168" s="2" t="s">
        <v>41</v>
      </c>
      <c r="M168" s="7" t="s">
        <v>955</v>
      </c>
      <c r="N168" s="2" t="s">
        <v>3209</v>
      </c>
      <c r="O168" s="2"/>
      <c r="P168" s="2" t="s">
        <v>3182</v>
      </c>
      <c r="Q168" s="2" t="s">
        <v>3162</v>
      </c>
      <c r="R168" s="2" t="s">
        <v>3158</v>
      </c>
      <c r="S168" s="2" t="s">
        <v>2341</v>
      </c>
      <c r="T168" s="2" t="s">
        <v>2367</v>
      </c>
      <c r="U168" s="2" t="s">
        <v>91</v>
      </c>
      <c r="V168" s="2" t="s">
        <v>2447</v>
      </c>
      <c r="W168" s="2"/>
      <c r="Y168" t="str">
        <f>PROPER(Table1[[#This Row],[Industry]])</f>
        <v>Хорека</v>
      </c>
      <c r="Z168" t="str">
        <f>PROPER(Table1[[#This Row],[Insole]])</f>
        <v>Текстил, Антибактериална Стелка, Ортопедична Стелка,Сменяема Стелка</v>
      </c>
    </row>
    <row r="169" spans="1:26" ht="12.75" customHeight="1" x14ac:dyDescent="0.2">
      <c r="A169" s="2" t="s">
        <v>989</v>
      </c>
      <c r="B169" s="2" t="s">
        <v>990</v>
      </c>
      <c r="C169" s="2" t="s">
        <v>991</v>
      </c>
      <c r="D169" s="2" t="s">
        <v>1903</v>
      </c>
      <c r="E169" s="2" t="s">
        <v>2788</v>
      </c>
      <c r="F169" s="2"/>
      <c r="G169" s="2" t="s">
        <v>954</v>
      </c>
      <c r="H169" s="2" t="s">
        <v>536</v>
      </c>
      <c r="I169" s="2" t="s">
        <v>3110</v>
      </c>
      <c r="J169" s="2" t="s">
        <v>3192</v>
      </c>
      <c r="K169" s="2" t="s">
        <v>1787</v>
      </c>
      <c r="L169" s="2" t="s">
        <v>41</v>
      </c>
      <c r="M169" s="7" t="s">
        <v>955</v>
      </c>
      <c r="N169" s="2" t="s">
        <v>3209</v>
      </c>
      <c r="O169" s="2"/>
      <c r="P169" s="2" t="s">
        <v>3182</v>
      </c>
      <c r="Q169" s="2" t="s">
        <v>3162</v>
      </c>
      <c r="R169" s="2" t="s">
        <v>3158</v>
      </c>
      <c r="S169" s="2" t="s">
        <v>2341</v>
      </c>
      <c r="T169" s="2" t="s">
        <v>2367</v>
      </c>
      <c r="U169" s="2" t="s">
        <v>91</v>
      </c>
      <c r="V169" s="2" t="s">
        <v>2447</v>
      </c>
      <c r="W169" s="2"/>
      <c r="Y169" t="str">
        <f>PROPER(Table1[[#This Row],[Industry]])</f>
        <v>Гастрономия / Кухня</v>
      </c>
      <c r="Z169" t="str">
        <f>PROPER(Table1[[#This Row],[Insole]])</f>
        <v>Текстил, Антибактериална Стелка, Ортопедична Стелка,Сменяема Стелка</v>
      </c>
    </row>
    <row r="170" spans="1:26" ht="12.75" customHeight="1" x14ac:dyDescent="0.2">
      <c r="A170" s="2" t="s">
        <v>992</v>
      </c>
      <c r="B170" s="2" t="s">
        <v>993</v>
      </c>
      <c r="C170" s="2" t="s">
        <v>994</v>
      </c>
      <c r="D170" s="2" t="s">
        <v>1904</v>
      </c>
      <c r="E170" s="2" t="s">
        <v>2789</v>
      </c>
      <c r="F170" s="2"/>
      <c r="G170" s="2" t="s">
        <v>954</v>
      </c>
      <c r="H170" s="2" t="s">
        <v>536</v>
      </c>
      <c r="I170" s="2" t="s">
        <v>3116</v>
      </c>
      <c r="J170" s="2" t="s">
        <v>3192</v>
      </c>
      <c r="K170" s="2" t="s">
        <v>1787</v>
      </c>
      <c r="L170" s="2" t="s">
        <v>41</v>
      </c>
      <c r="M170" s="7" t="s">
        <v>955</v>
      </c>
      <c r="N170" s="2" t="s">
        <v>3209</v>
      </c>
      <c r="O170" s="2"/>
      <c r="P170" s="2" t="s">
        <v>3182</v>
      </c>
      <c r="Q170" s="2" t="s">
        <v>3162</v>
      </c>
      <c r="R170" s="2" t="s">
        <v>3158</v>
      </c>
      <c r="S170" s="2" t="s">
        <v>2341</v>
      </c>
      <c r="T170" s="2" t="s">
        <v>2367</v>
      </c>
      <c r="U170" s="2" t="s">
        <v>91</v>
      </c>
      <c r="V170" s="2" t="s">
        <v>2447</v>
      </c>
      <c r="W170" s="2"/>
      <c r="Y170" t="str">
        <f>PROPER(Table1[[#This Row],[Industry]])</f>
        <v>Хорека</v>
      </c>
      <c r="Z170" t="str">
        <f>PROPER(Table1[[#This Row],[Insole]])</f>
        <v>Текстил, Антибактериална Стелка, Ортопедична Стелка,Сменяема Стелка</v>
      </c>
    </row>
    <row r="171" spans="1:26" ht="12.75" customHeight="1" x14ac:dyDescent="0.2">
      <c r="A171" s="2" t="s">
        <v>1442</v>
      </c>
      <c r="B171" s="2" t="s">
        <v>1443</v>
      </c>
      <c r="C171" s="2" t="s">
        <v>1444</v>
      </c>
      <c r="D171" s="2" t="s">
        <v>1951</v>
      </c>
      <c r="E171" s="2" t="s">
        <v>2933</v>
      </c>
      <c r="F171" s="2"/>
      <c r="G171" s="2" t="s">
        <v>954</v>
      </c>
      <c r="H171" s="2" t="s">
        <v>536</v>
      </c>
      <c r="I171" s="2" t="s">
        <v>3110</v>
      </c>
      <c r="J171" s="2" t="s">
        <v>3192</v>
      </c>
      <c r="K171" s="2" t="s">
        <v>1787</v>
      </c>
      <c r="L171" s="2" t="s">
        <v>41</v>
      </c>
      <c r="M171" s="7" t="s">
        <v>955</v>
      </c>
      <c r="N171" s="2" t="s">
        <v>3209</v>
      </c>
      <c r="O171" s="2"/>
      <c r="P171" s="2" t="s">
        <v>3182</v>
      </c>
      <c r="Q171" s="2" t="s">
        <v>3162</v>
      </c>
      <c r="R171" s="2" t="s">
        <v>3158</v>
      </c>
      <c r="S171" s="2" t="s">
        <v>2341</v>
      </c>
      <c r="T171" s="2" t="s">
        <v>2367</v>
      </c>
      <c r="U171" s="2" t="s">
        <v>91</v>
      </c>
      <c r="V171" s="2" t="s">
        <v>2447</v>
      </c>
      <c r="W171" s="2"/>
      <c r="Y171" t="str">
        <f>PROPER(Table1[[#This Row],[Industry]])</f>
        <v>Гастрономия / Кухня</v>
      </c>
      <c r="Z171" t="str">
        <f>PROPER(Table1[[#This Row],[Insole]])</f>
        <v>Текстил, Антибактериална Стелка, Ортопедична Стелка,Сменяема Стелка</v>
      </c>
    </row>
    <row r="172" spans="1:26" ht="12.75" customHeight="1" x14ac:dyDescent="0.2">
      <c r="A172" s="2" t="s">
        <v>977</v>
      </c>
      <c r="B172" s="2" t="s">
        <v>978</v>
      </c>
      <c r="C172" s="2" t="s">
        <v>979</v>
      </c>
      <c r="D172" s="2" t="s">
        <v>2029</v>
      </c>
      <c r="E172" s="2" t="s">
        <v>2784</v>
      </c>
      <c r="F172" s="2"/>
      <c r="G172" s="2" t="s">
        <v>954</v>
      </c>
      <c r="H172" s="2" t="s">
        <v>536</v>
      </c>
      <c r="I172" s="2" t="s">
        <v>3111</v>
      </c>
      <c r="J172" s="2" t="s">
        <v>3192</v>
      </c>
      <c r="K172" s="2" t="s">
        <v>1984</v>
      </c>
      <c r="L172" s="2" t="s">
        <v>41</v>
      </c>
      <c r="M172" s="7" t="s">
        <v>955</v>
      </c>
      <c r="N172" s="2" t="s">
        <v>3336</v>
      </c>
      <c r="O172" s="2"/>
      <c r="P172" s="2" t="s">
        <v>3162</v>
      </c>
      <c r="Q172" s="2" t="s">
        <v>3162</v>
      </c>
      <c r="R172" s="2" t="s">
        <v>3158</v>
      </c>
      <c r="S172" s="2" t="s">
        <v>2341</v>
      </c>
      <c r="T172" s="2" t="s">
        <v>2367</v>
      </c>
      <c r="U172" s="2" t="s">
        <v>91</v>
      </c>
      <c r="V172" s="2" t="s">
        <v>2446</v>
      </c>
      <c r="W172" s="2"/>
      <c r="Y172" t="str">
        <f>PROPER(Table1[[#This Row],[Industry]])</f>
        <v>Хорека, Болничен Персонал, Фармацевтика</v>
      </c>
      <c r="Z172" t="str">
        <f>PROPER(Table1[[#This Row],[Insole]])</f>
        <v>Текстил, Антибактериална Стелка, Ортопедична Стелка,Сменяема Стелка</v>
      </c>
    </row>
    <row r="173" spans="1:26" ht="12.75" customHeight="1" x14ac:dyDescent="0.2">
      <c r="A173" s="2" t="s">
        <v>1427</v>
      </c>
      <c r="B173" s="2" t="s">
        <v>1428</v>
      </c>
      <c r="C173" s="2" t="s">
        <v>1429</v>
      </c>
      <c r="D173" s="2" t="s">
        <v>2068</v>
      </c>
      <c r="E173" s="2" t="s">
        <v>2928</v>
      </c>
      <c r="F173" s="2"/>
      <c r="G173" s="2" t="s">
        <v>954</v>
      </c>
      <c r="H173" s="2" t="s">
        <v>536</v>
      </c>
      <c r="I173" s="2" t="s">
        <v>3114</v>
      </c>
      <c r="J173" s="2" t="s">
        <v>3192</v>
      </c>
      <c r="K173" s="2" t="s">
        <v>1984</v>
      </c>
      <c r="L173" s="2" t="s">
        <v>41</v>
      </c>
      <c r="M173" s="7" t="s">
        <v>955</v>
      </c>
      <c r="N173" s="2" t="s">
        <v>3336</v>
      </c>
      <c r="O173" s="2"/>
      <c r="P173" s="2" t="s">
        <v>3162</v>
      </c>
      <c r="Q173" s="2" t="s">
        <v>3162</v>
      </c>
      <c r="R173" s="2" t="s">
        <v>3158</v>
      </c>
      <c r="S173" s="2" t="s">
        <v>2341</v>
      </c>
      <c r="T173" s="2" t="s">
        <v>2367</v>
      </c>
      <c r="U173" s="2" t="s">
        <v>91</v>
      </c>
      <c r="V173" s="2" t="s">
        <v>2485</v>
      </c>
      <c r="W173" s="2"/>
      <c r="Y173" t="str">
        <f>PROPER(Table1[[#This Row],[Industry]])</f>
        <v>Болничен Персонал</v>
      </c>
      <c r="Z173" t="str">
        <f>PROPER(Table1[[#This Row],[Insole]])</f>
        <v>Текстил, Антибактериална Стелка, Ортопедична Стелка,Сменяема Стелка</v>
      </c>
    </row>
    <row r="174" spans="1:26" ht="12.75" customHeight="1" x14ac:dyDescent="0.2">
      <c r="A174" s="2" t="s">
        <v>971</v>
      </c>
      <c r="B174" s="2" t="s">
        <v>972</v>
      </c>
      <c r="C174" s="2" t="s">
        <v>973</v>
      </c>
      <c r="D174" s="2" t="s">
        <v>1785</v>
      </c>
      <c r="E174" s="2" t="s">
        <v>2782</v>
      </c>
      <c r="F174" s="2"/>
      <c r="G174" s="2" t="s">
        <v>954</v>
      </c>
      <c r="H174" s="2" t="s">
        <v>536</v>
      </c>
      <c r="I174" s="2" t="s">
        <v>3111</v>
      </c>
      <c r="J174" s="2" t="s">
        <v>3192</v>
      </c>
      <c r="K174" s="2" t="s">
        <v>2310</v>
      </c>
      <c r="L174" s="2" t="s">
        <v>41</v>
      </c>
      <c r="M174" s="7" t="s">
        <v>955</v>
      </c>
      <c r="N174" s="2" t="s">
        <v>3336</v>
      </c>
      <c r="O174" s="2"/>
      <c r="P174" s="2" t="s">
        <v>3162</v>
      </c>
      <c r="Q174" s="2" t="s">
        <v>3162</v>
      </c>
      <c r="R174" s="2" t="s">
        <v>3158</v>
      </c>
      <c r="S174" s="2" t="s">
        <v>2341</v>
      </c>
      <c r="T174" s="2" t="s">
        <v>2367</v>
      </c>
      <c r="U174" s="2" t="s">
        <v>91</v>
      </c>
      <c r="V174" s="2" t="s">
        <v>2446</v>
      </c>
      <c r="W174" s="2"/>
      <c r="Y174" t="str">
        <f>PROPER(Table1[[#This Row],[Industry]])</f>
        <v>Хорека, Болничен Персонал, Фармацевтика</v>
      </c>
      <c r="Z174" t="str">
        <f>PROPER(Table1[[#This Row],[Insole]])</f>
        <v>Текстил, Антибактериална Стелка, Ортопедична Стелка,Сменяема Стелка</v>
      </c>
    </row>
    <row r="175" spans="1:26" ht="12.75" customHeight="1" x14ac:dyDescent="0.2">
      <c r="A175" s="2" t="s">
        <v>974</v>
      </c>
      <c r="B175" s="2" t="s">
        <v>975</v>
      </c>
      <c r="C175" s="2" t="s">
        <v>976</v>
      </c>
      <c r="D175" s="2" t="s">
        <v>2119</v>
      </c>
      <c r="E175" s="2" t="s">
        <v>2783</v>
      </c>
      <c r="F175" s="2"/>
      <c r="G175" s="2" t="s">
        <v>954</v>
      </c>
      <c r="H175" s="2" t="s">
        <v>536</v>
      </c>
      <c r="I175" s="2" t="s">
        <v>3111</v>
      </c>
      <c r="J175" s="2" t="s">
        <v>3192</v>
      </c>
      <c r="K175" s="2" t="s">
        <v>2104</v>
      </c>
      <c r="L175" s="2" t="s">
        <v>41</v>
      </c>
      <c r="M175" s="7" t="s">
        <v>955</v>
      </c>
      <c r="N175" s="2" t="s">
        <v>3336</v>
      </c>
      <c r="O175" s="2"/>
      <c r="P175" s="2" t="s">
        <v>3162</v>
      </c>
      <c r="Q175" s="2" t="s">
        <v>3162</v>
      </c>
      <c r="R175" s="2" t="s">
        <v>3158</v>
      </c>
      <c r="S175" s="2" t="s">
        <v>2341</v>
      </c>
      <c r="T175" s="2" t="s">
        <v>2367</v>
      </c>
      <c r="U175" s="2" t="s">
        <v>91</v>
      </c>
      <c r="V175" s="2" t="s">
        <v>2446</v>
      </c>
      <c r="W175" s="2"/>
      <c r="Y175" t="str">
        <f>PROPER(Table1[[#This Row],[Industry]])</f>
        <v>Хорека, Болничен Персонал, Фармацевтика</v>
      </c>
      <c r="Z175" t="str">
        <f>PROPER(Table1[[#This Row],[Insole]])</f>
        <v>Текстил, Антибактериална Стелка, Ортопедична Стелка,Сменяема Стелка</v>
      </c>
    </row>
    <row r="176" spans="1:26" ht="12.75" customHeight="1" x14ac:dyDescent="0.2">
      <c r="A176" s="2" t="s">
        <v>968</v>
      </c>
      <c r="B176" s="2" t="s">
        <v>969</v>
      </c>
      <c r="C176" s="2" t="s">
        <v>970</v>
      </c>
      <c r="D176" s="2" t="s">
        <v>2231</v>
      </c>
      <c r="E176" s="2" t="s">
        <v>2781</v>
      </c>
      <c r="F176" s="2"/>
      <c r="G176" s="2" t="s">
        <v>954</v>
      </c>
      <c r="H176" s="2" t="s">
        <v>536</v>
      </c>
      <c r="I176" s="2" t="s">
        <v>3111</v>
      </c>
      <c r="J176" s="2" t="s">
        <v>3192</v>
      </c>
      <c r="K176" s="2" t="s">
        <v>2211</v>
      </c>
      <c r="L176" s="2" t="s">
        <v>41</v>
      </c>
      <c r="M176" s="7" t="s">
        <v>955</v>
      </c>
      <c r="N176" s="2" t="s">
        <v>3336</v>
      </c>
      <c r="O176" s="2"/>
      <c r="P176" s="2" t="s">
        <v>3162</v>
      </c>
      <c r="Q176" s="2" t="s">
        <v>3162</v>
      </c>
      <c r="R176" s="2" t="s">
        <v>3158</v>
      </c>
      <c r="S176" s="2" t="s">
        <v>2341</v>
      </c>
      <c r="T176" s="2" t="s">
        <v>2367</v>
      </c>
      <c r="U176" s="2" t="s">
        <v>91</v>
      </c>
      <c r="V176" s="2" t="s">
        <v>2446</v>
      </c>
      <c r="W176" s="2"/>
      <c r="Y176" t="str">
        <f>PROPER(Table1[[#This Row],[Industry]])</f>
        <v>Хорека, Болничен Персонал, Фармацевтика</v>
      </c>
      <c r="Z176" t="str">
        <f>PROPER(Table1[[#This Row],[Insole]])</f>
        <v>Текстил, Антибактериална Стелка, Ортопедична Стелка,Сменяема Стелка</v>
      </c>
    </row>
    <row r="177" spans="1:26" ht="12.75" customHeight="1" x14ac:dyDescent="0.2">
      <c r="A177" s="2" t="s">
        <v>1424</v>
      </c>
      <c r="B177" s="2" t="s">
        <v>1425</v>
      </c>
      <c r="C177" s="2" t="s">
        <v>1426</v>
      </c>
      <c r="D177" s="2" t="s">
        <v>2129</v>
      </c>
      <c r="E177" s="2" t="s">
        <v>2927</v>
      </c>
      <c r="F177" s="2"/>
      <c r="G177" s="2" t="s">
        <v>954</v>
      </c>
      <c r="H177" s="2" t="s">
        <v>536</v>
      </c>
      <c r="I177" s="2" t="s">
        <v>3114</v>
      </c>
      <c r="J177" s="2" t="s">
        <v>3192</v>
      </c>
      <c r="K177" s="2" t="s">
        <v>2104</v>
      </c>
      <c r="L177" s="2" t="s">
        <v>41</v>
      </c>
      <c r="M177" s="7" t="s">
        <v>955</v>
      </c>
      <c r="N177" s="2" t="s">
        <v>3209</v>
      </c>
      <c r="O177" s="2"/>
      <c r="P177" s="2" t="s">
        <v>3162</v>
      </c>
      <c r="Q177" s="2" t="s">
        <v>3162</v>
      </c>
      <c r="R177" s="2" t="s">
        <v>3158</v>
      </c>
      <c r="S177" s="2" t="s">
        <v>2341</v>
      </c>
      <c r="T177" s="2" t="s">
        <v>2367</v>
      </c>
      <c r="U177" s="2" t="s">
        <v>91</v>
      </c>
      <c r="V177" s="2" t="s">
        <v>2370</v>
      </c>
      <c r="W177" s="2"/>
      <c r="Y177" t="str">
        <f>PROPER(Table1[[#This Row],[Industry]])</f>
        <v>Болничен Персонал</v>
      </c>
      <c r="Z177" t="str">
        <f>PROPER(Table1[[#This Row],[Insole]])</f>
        <v>Текстил, Антибактериална Стелка, Ортопедична Стелка,Сменяема Стелка</v>
      </c>
    </row>
    <row r="178" spans="1:26" ht="12.75" customHeight="1" x14ac:dyDescent="0.2">
      <c r="A178" s="2" t="s">
        <v>1029</v>
      </c>
      <c r="B178" s="2" t="s">
        <v>1030</v>
      </c>
      <c r="C178" s="2" t="s">
        <v>2287</v>
      </c>
      <c r="D178" s="2" t="s">
        <v>2288</v>
      </c>
      <c r="E178" s="2" t="s">
        <v>2801</v>
      </c>
      <c r="F178" s="2"/>
      <c r="G178" s="2" t="s">
        <v>2289</v>
      </c>
      <c r="H178" s="2" t="s">
        <v>536</v>
      </c>
      <c r="I178" s="2" t="s">
        <v>3114</v>
      </c>
      <c r="J178" s="2" t="s">
        <v>3190</v>
      </c>
      <c r="K178" s="2" t="s">
        <v>1984</v>
      </c>
      <c r="L178" s="2" t="s">
        <v>41</v>
      </c>
      <c r="M178" s="7" t="s">
        <v>1031</v>
      </c>
      <c r="N178" s="2"/>
      <c r="O178" s="2"/>
      <c r="P178" s="2" t="s">
        <v>3173</v>
      </c>
      <c r="Q178" s="2" t="s">
        <v>3172</v>
      </c>
      <c r="R178" s="2" t="s">
        <v>3163</v>
      </c>
      <c r="S178" s="2" t="s">
        <v>2341</v>
      </c>
      <c r="T178" s="2" t="s">
        <v>2355</v>
      </c>
      <c r="U178" s="2" t="s">
        <v>818</v>
      </c>
      <c r="V178" s="2" t="s">
        <v>2412</v>
      </c>
      <c r="W178" s="2"/>
      <c r="Y178" t="str">
        <f>PROPER(Table1[[#This Row],[Industry]])</f>
        <v>Болничен Персонал</v>
      </c>
      <c r="Z178" t="str">
        <f>PROPER(Table1[[#This Row],[Insole]])</f>
        <v>Текстил, Антибактериална Стелка,Сменяема Стелка</v>
      </c>
    </row>
    <row r="179" spans="1:26" ht="12.75" customHeight="1" x14ac:dyDescent="0.2">
      <c r="A179" s="2" t="s">
        <v>1034</v>
      </c>
      <c r="B179" s="2" t="s">
        <v>1035</v>
      </c>
      <c r="C179" s="2" t="s">
        <v>2292</v>
      </c>
      <c r="D179" s="2" t="s">
        <v>2293</v>
      </c>
      <c r="E179" s="2" t="s">
        <v>2803</v>
      </c>
      <c r="F179" s="2"/>
      <c r="G179" s="2" t="s">
        <v>2289</v>
      </c>
      <c r="H179" s="2" t="s">
        <v>536</v>
      </c>
      <c r="I179" s="2" t="s">
        <v>3114</v>
      </c>
      <c r="J179" s="2" t="s">
        <v>3190</v>
      </c>
      <c r="K179" s="2" t="s">
        <v>2104</v>
      </c>
      <c r="L179" s="2" t="s">
        <v>41</v>
      </c>
      <c r="M179" s="7" t="s">
        <v>1031</v>
      </c>
      <c r="N179" s="2"/>
      <c r="O179" s="2"/>
      <c r="P179" s="2" t="s">
        <v>3162</v>
      </c>
      <c r="Q179" s="2" t="s">
        <v>3162</v>
      </c>
      <c r="R179" s="2" t="s">
        <v>3163</v>
      </c>
      <c r="S179" s="2" t="s">
        <v>2341</v>
      </c>
      <c r="T179" s="2" t="s">
        <v>2361</v>
      </c>
      <c r="U179" s="2" t="s">
        <v>91</v>
      </c>
      <c r="V179" s="2" t="s">
        <v>2372</v>
      </c>
      <c r="W179" s="2"/>
      <c r="Y179" t="str">
        <f>PROPER(Table1[[#This Row],[Industry]])</f>
        <v>Болничен Персонал</v>
      </c>
      <c r="Z179" t="str">
        <f>PROPER(Table1[[#This Row],[Insole]])</f>
        <v>Текстил, Антибактериална Стелка,Сменяема Стелка</v>
      </c>
    </row>
    <row r="180" spans="1:26" ht="12.75" customHeight="1" x14ac:dyDescent="0.2">
      <c r="A180" s="2" t="s">
        <v>1032</v>
      </c>
      <c r="B180" s="2" t="s">
        <v>1033</v>
      </c>
      <c r="C180" s="2" t="s">
        <v>2290</v>
      </c>
      <c r="D180" s="2" t="s">
        <v>2291</v>
      </c>
      <c r="E180" s="2" t="s">
        <v>2802</v>
      </c>
      <c r="F180" s="2"/>
      <c r="G180" s="2" t="s">
        <v>2289</v>
      </c>
      <c r="H180" s="2" t="s">
        <v>536</v>
      </c>
      <c r="I180" s="2" t="s">
        <v>3114</v>
      </c>
      <c r="J180" s="2" t="s">
        <v>3190</v>
      </c>
      <c r="K180" s="2" t="s">
        <v>2254</v>
      </c>
      <c r="L180" s="2" t="s">
        <v>41</v>
      </c>
      <c r="M180" s="7" t="s">
        <v>1031</v>
      </c>
      <c r="N180" s="2"/>
      <c r="O180" s="2"/>
      <c r="P180" s="2" t="s">
        <v>3162</v>
      </c>
      <c r="Q180" s="2" t="s">
        <v>3162</v>
      </c>
      <c r="R180" s="2" t="s">
        <v>3163</v>
      </c>
      <c r="S180" s="2" t="s">
        <v>2341</v>
      </c>
      <c r="T180" s="2" t="s">
        <v>2361</v>
      </c>
      <c r="U180" s="2" t="s">
        <v>91</v>
      </c>
      <c r="V180" s="2" t="s">
        <v>2372</v>
      </c>
      <c r="W180" s="2"/>
      <c r="Y180" t="str">
        <f>PROPER(Table1[[#This Row],[Industry]])</f>
        <v>Болничен Персонал</v>
      </c>
      <c r="Z180" t="str">
        <f>PROPER(Table1[[#This Row],[Insole]])</f>
        <v>Текстил, Антибактериална Стелка,Сменяема Стелка</v>
      </c>
    </row>
    <row r="181" spans="1:26" ht="12.75" customHeight="1" x14ac:dyDescent="0.2">
      <c r="A181" s="2" t="s">
        <v>1036</v>
      </c>
      <c r="B181" s="2" t="s">
        <v>1037</v>
      </c>
      <c r="C181" s="2" t="s">
        <v>2294</v>
      </c>
      <c r="D181" s="2" t="s">
        <v>2295</v>
      </c>
      <c r="E181" s="2" t="s">
        <v>2804</v>
      </c>
      <c r="F181" s="2"/>
      <c r="G181" s="2" t="s">
        <v>2289</v>
      </c>
      <c r="H181" s="2" t="s">
        <v>536</v>
      </c>
      <c r="I181" s="2" t="s">
        <v>3114</v>
      </c>
      <c r="J181" s="2" t="s">
        <v>3190</v>
      </c>
      <c r="K181" s="2" t="s">
        <v>1787</v>
      </c>
      <c r="L181" s="2" t="s">
        <v>41</v>
      </c>
      <c r="M181" s="7" t="s">
        <v>1031</v>
      </c>
      <c r="N181" s="2"/>
      <c r="O181" s="2"/>
      <c r="P181" s="2" t="s">
        <v>3162</v>
      </c>
      <c r="Q181" s="2" t="s">
        <v>3162</v>
      </c>
      <c r="R181" s="2" t="s">
        <v>3163</v>
      </c>
      <c r="S181" s="2" t="s">
        <v>2341</v>
      </c>
      <c r="T181" s="2" t="s">
        <v>2361</v>
      </c>
      <c r="U181" s="2" t="s">
        <v>91</v>
      </c>
      <c r="V181" s="2" t="s">
        <v>2372</v>
      </c>
      <c r="W181" s="2"/>
      <c r="Y181" t="str">
        <f>PROPER(Table1[[#This Row],[Industry]])</f>
        <v>Болничен Персонал</v>
      </c>
      <c r="Z181" t="str">
        <f>PROPER(Table1[[#This Row],[Insole]])</f>
        <v>Текстил, Антибактериална Стелка,Сменяема Стелка</v>
      </c>
    </row>
    <row r="182" spans="1:26" ht="12.75" customHeight="1" x14ac:dyDescent="0.2">
      <c r="A182" s="2" t="s">
        <v>1063</v>
      </c>
      <c r="B182" s="2" t="s">
        <v>1064</v>
      </c>
      <c r="C182" s="2" t="s">
        <v>1065</v>
      </c>
      <c r="D182" s="2" t="s">
        <v>2146</v>
      </c>
      <c r="E182" s="2" t="s">
        <v>2812</v>
      </c>
      <c r="F182" s="2"/>
      <c r="G182" s="2" t="s">
        <v>1052</v>
      </c>
      <c r="H182" s="2" t="s">
        <v>536</v>
      </c>
      <c r="I182" s="2" t="s">
        <v>3117</v>
      </c>
      <c r="J182" s="2" t="s">
        <v>3191</v>
      </c>
      <c r="K182" s="2" t="s">
        <v>1984</v>
      </c>
      <c r="L182" s="2" t="s">
        <v>41</v>
      </c>
      <c r="M182" s="7" t="s">
        <v>1053</v>
      </c>
      <c r="N182" s="2"/>
      <c r="O182" s="2"/>
      <c r="P182" s="2" t="s">
        <v>3170</v>
      </c>
      <c r="Q182" s="2" t="s">
        <v>3162</v>
      </c>
      <c r="R182" s="2" t="s">
        <v>3158</v>
      </c>
      <c r="S182" s="2" t="s">
        <v>2341</v>
      </c>
      <c r="T182" s="2" t="s">
        <v>2367</v>
      </c>
      <c r="U182" s="2" t="s">
        <v>91</v>
      </c>
      <c r="V182" s="2" t="s">
        <v>2444</v>
      </c>
      <c r="W182" s="2"/>
      <c r="Y182" t="str">
        <f>PROPER(Table1[[#This Row],[Industry]])</f>
        <v>Фармацевтика</v>
      </c>
      <c r="Z182" t="str">
        <f>PROPER(Table1[[#This Row],[Insole]])</f>
        <v>Текстил, Антибактериална Стелка, Ортопедична Стелка,Сменяема Стелка</v>
      </c>
    </row>
    <row r="183" spans="1:26" ht="12.75" customHeight="1" x14ac:dyDescent="0.2">
      <c r="A183" s="2" t="s">
        <v>1460</v>
      </c>
      <c r="B183" s="2" t="s">
        <v>1461</v>
      </c>
      <c r="C183" s="2" t="s">
        <v>1462</v>
      </c>
      <c r="D183" s="2" t="s">
        <v>2158</v>
      </c>
      <c r="E183" s="2" t="s">
        <v>2939</v>
      </c>
      <c r="F183" s="2"/>
      <c r="G183" s="2" t="s">
        <v>1052</v>
      </c>
      <c r="H183" s="2" t="s">
        <v>536</v>
      </c>
      <c r="I183" s="2" t="s">
        <v>3111</v>
      </c>
      <c r="J183" s="2" t="s">
        <v>3191</v>
      </c>
      <c r="K183" s="2" t="s">
        <v>1984</v>
      </c>
      <c r="L183" s="2" t="s">
        <v>41</v>
      </c>
      <c r="M183" s="7" t="s">
        <v>1053</v>
      </c>
      <c r="N183" s="2"/>
      <c r="O183" s="2"/>
      <c r="P183" s="2" t="s">
        <v>3170</v>
      </c>
      <c r="Q183" s="2" t="s">
        <v>3162</v>
      </c>
      <c r="R183" s="2" t="s">
        <v>3158</v>
      </c>
      <c r="S183" s="2" t="s">
        <v>2341</v>
      </c>
      <c r="T183" s="2" t="s">
        <v>2367</v>
      </c>
      <c r="U183" s="2" t="s">
        <v>91</v>
      </c>
      <c r="V183" s="2" t="s">
        <v>2444</v>
      </c>
      <c r="W183" s="2"/>
      <c r="Y183" t="str">
        <f>PROPER(Table1[[#This Row],[Industry]])</f>
        <v>Хорека, Болничен Персонал, Фармацевтика</v>
      </c>
      <c r="Z183" t="str">
        <f>PROPER(Table1[[#This Row],[Insole]])</f>
        <v>Текстил, Антибактериална Стелка, Ортопедична Стелка,Сменяема Стелка</v>
      </c>
    </row>
    <row r="184" spans="1:26" ht="12.75" customHeight="1" x14ac:dyDescent="0.2">
      <c r="A184" s="2" t="s">
        <v>1066</v>
      </c>
      <c r="B184" s="2" t="s">
        <v>1067</v>
      </c>
      <c r="C184" s="2" t="s">
        <v>1068</v>
      </c>
      <c r="D184" s="2" t="s">
        <v>2182</v>
      </c>
      <c r="E184" s="2" t="s">
        <v>2813</v>
      </c>
      <c r="F184" s="2"/>
      <c r="G184" s="2" t="s">
        <v>1052</v>
      </c>
      <c r="H184" s="2" t="s">
        <v>536</v>
      </c>
      <c r="I184" s="2" t="s">
        <v>3117</v>
      </c>
      <c r="J184" s="2" t="s">
        <v>3191</v>
      </c>
      <c r="K184" s="2" t="s">
        <v>1787</v>
      </c>
      <c r="L184" s="2" t="s">
        <v>41</v>
      </c>
      <c r="M184" s="7" t="s">
        <v>1053</v>
      </c>
      <c r="N184" s="2"/>
      <c r="O184" s="2"/>
      <c r="P184" s="2" t="s">
        <v>3170</v>
      </c>
      <c r="Q184" s="2" t="s">
        <v>3162</v>
      </c>
      <c r="R184" s="2" t="s">
        <v>3158</v>
      </c>
      <c r="S184" s="2" t="s">
        <v>2341</v>
      </c>
      <c r="T184" s="2" t="s">
        <v>2367</v>
      </c>
      <c r="U184" s="2" t="s">
        <v>91</v>
      </c>
      <c r="V184" s="2" t="s">
        <v>2444</v>
      </c>
      <c r="W184" s="2"/>
      <c r="Y184" t="str">
        <f>PROPER(Table1[[#This Row],[Industry]])</f>
        <v>Фармацевтика</v>
      </c>
      <c r="Z184" t="str">
        <f>PROPER(Table1[[#This Row],[Insole]])</f>
        <v>Текстил, Антибактериална Стелка, Ортопедична Стелка,Сменяема Стелка</v>
      </c>
    </row>
    <row r="185" spans="1:26" ht="12.75" customHeight="1" x14ac:dyDescent="0.2">
      <c r="A185" s="2" t="s">
        <v>1463</v>
      </c>
      <c r="B185" s="2" t="s">
        <v>1464</v>
      </c>
      <c r="C185" s="2" t="s">
        <v>1465</v>
      </c>
      <c r="D185" s="2" t="s">
        <v>2193</v>
      </c>
      <c r="E185" s="2" t="s">
        <v>2940</v>
      </c>
      <c r="F185" s="2"/>
      <c r="G185" s="2" t="s">
        <v>1052</v>
      </c>
      <c r="H185" s="2" t="s">
        <v>536</v>
      </c>
      <c r="I185" s="2" t="s">
        <v>3111</v>
      </c>
      <c r="J185" s="2" t="s">
        <v>3191</v>
      </c>
      <c r="K185" s="2" t="s">
        <v>1787</v>
      </c>
      <c r="L185" s="2" t="s">
        <v>41</v>
      </c>
      <c r="M185" s="7" t="s">
        <v>1053</v>
      </c>
      <c r="N185" s="2"/>
      <c r="O185" s="2"/>
      <c r="P185" s="2" t="s">
        <v>3170</v>
      </c>
      <c r="Q185" s="2" t="s">
        <v>3162</v>
      </c>
      <c r="R185" s="2" t="s">
        <v>3158</v>
      </c>
      <c r="S185" s="2" t="s">
        <v>2341</v>
      </c>
      <c r="T185" s="2" t="s">
        <v>2367</v>
      </c>
      <c r="U185" s="2" t="s">
        <v>91</v>
      </c>
      <c r="V185" s="2" t="s">
        <v>2420</v>
      </c>
      <c r="W185" s="2"/>
      <c r="Y185" t="str">
        <f>PROPER(Table1[[#This Row],[Industry]])</f>
        <v>Хорека, Болничен Персонал, Фармацевтика</v>
      </c>
      <c r="Z185" t="str">
        <f>PROPER(Table1[[#This Row],[Insole]])</f>
        <v>Текстил, Антибактериална Стелка, Ортопедична Стелка,Сменяема Стелка</v>
      </c>
    </row>
    <row r="186" spans="1:26" ht="12.75" customHeight="1" x14ac:dyDescent="0.2">
      <c r="A186" s="2" t="s">
        <v>1057</v>
      </c>
      <c r="B186" s="2" t="s">
        <v>1058</v>
      </c>
      <c r="C186" s="2" t="s">
        <v>1059</v>
      </c>
      <c r="D186" s="2" t="s">
        <v>2037</v>
      </c>
      <c r="E186" s="2" t="s">
        <v>2810</v>
      </c>
      <c r="F186" s="2"/>
      <c r="G186" s="2" t="s">
        <v>1052</v>
      </c>
      <c r="H186" s="2" t="s">
        <v>536</v>
      </c>
      <c r="I186" s="2" t="s">
        <v>3117</v>
      </c>
      <c r="J186" s="2" t="s">
        <v>3192</v>
      </c>
      <c r="K186" s="2" t="s">
        <v>1984</v>
      </c>
      <c r="L186" s="2" t="s">
        <v>41</v>
      </c>
      <c r="M186" s="7" t="s">
        <v>1053</v>
      </c>
      <c r="N186" s="2"/>
      <c r="O186" s="2"/>
      <c r="P186" s="2" t="s">
        <v>3170</v>
      </c>
      <c r="Q186" s="2" t="s">
        <v>3162</v>
      </c>
      <c r="R186" s="2" t="s">
        <v>3158</v>
      </c>
      <c r="S186" s="2" t="s">
        <v>2341</v>
      </c>
      <c r="T186" s="2" t="s">
        <v>2367</v>
      </c>
      <c r="U186" s="2" t="s">
        <v>91</v>
      </c>
      <c r="V186" s="2" t="s">
        <v>2444</v>
      </c>
      <c r="W186" s="2"/>
      <c r="Y186" t="str">
        <f>PROPER(Table1[[#This Row],[Industry]])</f>
        <v>Фармацевтика</v>
      </c>
      <c r="Z186" t="str">
        <f>PROPER(Table1[[#This Row],[Insole]])</f>
        <v>Текстил, Антибактериална Стелка, Ортопедична Стелка,Сменяема Стелка</v>
      </c>
    </row>
    <row r="187" spans="1:26" ht="12.75" customHeight="1" x14ac:dyDescent="0.2">
      <c r="A187" s="2" t="s">
        <v>1060</v>
      </c>
      <c r="B187" s="2" t="s">
        <v>1061</v>
      </c>
      <c r="C187" s="2" t="s">
        <v>1062</v>
      </c>
      <c r="D187" s="2" t="s">
        <v>2038</v>
      </c>
      <c r="E187" s="2" t="s">
        <v>2811</v>
      </c>
      <c r="F187" s="2"/>
      <c r="G187" s="2" t="s">
        <v>1052</v>
      </c>
      <c r="H187" s="2" t="s">
        <v>536</v>
      </c>
      <c r="I187" s="2" t="s">
        <v>3117</v>
      </c>
      <c r="J187" s="2" t="s">
        <v>3192</v>
      </c>
      <c r="K187" s="2" t="s">
        <v>1984</v>
      </c>
      <c r="L187" s="2" t="s">
        <v>41</v>
      </c>
      <c r="M187" s="7" t="s">
        <v>1053</v>
      </c>
      <c r="N187" s="2"/>
      <c r="O187" s="2"/>
      <c r="P187" s="2" t="s">
        <v>3170</v>
      </c>
      <c r="Q187" s="2" t="s">
        <v>3162</v>
      </c>
      <c r="R187" s="2" t="s">
        <v>3158</v>
      </c>
      <c r="S187" s="2" t="s">
        <v>2341</v>
      </c>
      <c r="T187" s="2" t="s">
        <v>2367</v>
      </c>
      <c r="U187" s="2" t="s">
        <v>818</v>
      </c>
      <c r="V187" s="2" t="s">
        <v>2444</v>
      </c>
      <c r="W187" s="2"/>
      <c r="Y187" t="str">
        <f>PROPER(Table1[[#This Row],[Industry]])</f>
        <v>Фармацевтика</v>
      </c>
      <c r="Z187" t="str">
        <f>PROPER(Table1[[#This Row],[Insole]])</f>
        <v>Текстил, Антибактериална Стелка, Ортопедична Стелка,Сменяема Стелка</v>
      </c>
    </row>
    <row r="188" spans="1:26" ht="12.75" customHeight="1" x14ac:dyDescent="0.2">
      <c r="A188" s="2" t="s">
        <v>1457</v>
      </c>
      <c r="B188" s="2" t="s">
        <v>1458</v>
      </c>
      <c r="C188" s="2" t="s">
        <v>1459</v>
      </c>
      <c r="D188" s="2" t="s">
        <v>2072</v>
      </c>
      <c r="E188" s="2" t="s">
        <v>2938</v>
      </c>
      <c r="F188" s="2"/>
      <c r="G188" s="2" t="s">
        <v>1052</v>
      </c>
      <c r="H188" s="2" t="s">
        <v>536</v>
      </c>
      <c r="I188" s="2" t="s">
        <v>3117</v>
      </c>
      <c r="J188" s="2" t="s">
        <v>3192</v>
      </c>
      <c r="K188" s="2" t="s">
        <v>1984</v>
      </c>
      <c r="L188" s="2" t="s">
        <v>41</v>
      </c>
      <c r="M188" s="7" t="s">
        <v>1053</v>
      </c>
      <c r="N188" s="2"/>
      <c r="O188" s="2"/>
      <c r="P188" s="2" t="s">
        <v>3170</v>
      </c>
      <c r="Q188" s="2" t="s">
        <v>3162</v>
      </c>
      <c r="R188" s="2" t="s">
        <v>3158</v>
      </c>
      <c r="S188" s="2" t="s">
        <v>2341</v>
      </c>
      <c r="T188" s="2" t="s">
        <v>2367</v>
      </c>
      <c r="U188" s="2" t="s">
        <v>91</v>
      </c>
      <c r="V188" s="2" t="s">
        <v>2412</v>
      </c>
      <c r="W188" s="2"/>
      <c r="Y188" t="str">
        <f>PROPER(Table1[[#This Row],[Industry]])</f>
        <v>Фармацевтика</v>
      </c>
      <c r="Z188" t="str">
        <f>PROPER(Table1[[#This Row],[Insole]])</f>
        <v>Текстил, Антибактериална Стелка, Ортопедична Стелка,Сменяема Стелка</v>
      </c>
    </row>
    <row r="189" spans="1:26" ht="12.75" customHeight="1" x14ac:dyDescent="0.2">
      <c r="A189" s="2" t="s">
        <v>1049</v>
      </c>
      <c r="B189" s="2" t="s">
        <v>1050</v>
      </c>
      <c r="C189" s="2" t="s">
        <v>1051</v>
      </c>
      <c r="D189" s="2" t="s">
        <v>2036</v>
      </c>
      <c r="E189" s="2" t="s">
        <v>2808</v>
      </c>
      <c r="F189" s="2"/>
      <c r="G189" s="2" t="s">
        <v>1052</v>
      </c>
      <c r="H189" s="2" t="s">
        <v>536</v>
      </c>
      <c r="I189" s="2" t="s">
        <v>3117</v>
      </c>
      <c r="J189" s="2" t="s">
        <v>3192</v>
      </c>
      <c r="K189" s="2" t="s">
        <v>1984</v>
      </c>
      <c r="L189" s="2" t="s">
        <v>41</v>
      </c>
      <c r="M189" s="7" t="s">
        <v>1053</v>
      </c>
      <c r="N189" s="2"/>
      <c r="O189" s="2"/>
      <c r="P189" s="2" t="s">
        <v>3173</v>
      </c>
      <c r="Q189" s="2" t="s">
        <v>3162</v>
      </c>
      <c r="R189" s="2" t="s">
        <v>3158</v>
      </c>
      <c r="S189" s="2" t="s">
        <v>2341</v>
      </c>
      <c r="T189" s="2" t="s">
        <v>2367</v>
      </c>
      <c r="U189" s="2" t="s">
        <v>818</v>
      </c>
      <c r="V189" s="2" t="s">
        <v>2426</v>
      </c>
      <c r="W189" s="2"/>
      <c r="Y189" t="str">
        <f>PROPER(Table1[[#This Row],[Industry]])</f>
        <v>Фармацевтика</v>
      </c>
      <c r="Z189" t="str">
        <f>PROPER(Table1[[#This Row],[Insole]])</f>
        <v>Текстил, Антибактериална Стелка, Ортопедична Стелка,Сменяема Стелка</v>
      </c>
    </row>
    <row r="190" spans="1:26" ht="12.75" customHeight="1" x14ac:dyDescent="0.2">
      <c r="A190" s="2" t="s">
        <v>1054</v>
      </c>
      <c r="B190" s="2" t="s">
        <v>1055</v>
      </c>
      <c r="C190" s="2" t="s">
        <v>1056</v>
      </c>
      <c r="D190" s="2" t="s">
        <v>1907</v>
      </c>
      <c r="E190" s="2" t="s">
        <v>2809</v>
      </c>
      <c r="F190" s="2"/>
      <c r="G190" s="2" t="s">
        <v>1052</v>
      </c>
      <c r="H190" s="2" t="s">
        <v>536</v>
      </c>
      <c r="I190" s="2" t="s">
        <v>3110</v>
      </c>
      <c r="J190" s="2" t="s">
        <v>3192</v>
      </c>
      <c r="K190" s="2" t="s">
        <v>1787</v>
      </c>
      <c r="L190" s="2" t="s">
        <v>41</v>
      </c>
      <c r="M190" s="7" t="s">
        <v>1053</v>
      </c>
      <c r="N190" s="2"/>
      <c r="O190" s="2"/>
      <c r="P190" s="2" t="s">
        <v>3173</v>
      </c>
      <c r="Q190" s="2" t="s">
        <v>3162</v>
      </c>
      <c r="R190" s="2" t="s">
        <v>3158</v>
      </c>
      <c r="S190" s="2" t="s">
        <v>2341</v>
      </c>
      <c r="T190" s="2" t="s">
        <v>2367</v>
      </c>
      <c r="U190" s="2" t="s">
        <v>818</v>
      </c>
      <c r="V190" s="2" t="s">
        <v>2426</v>
      </c>
      <c r="W190" s="2"/>
      <c r="Y190" t="str">
        <f>PROPER(Table1[[#This Row],[Industry]])</f>
        <v>Гастрономия / Кухня</v>
      </c>
      <c r="Z190" t="str">
        <f>PROPER(Table1[[#This Row],[Insole]])</f>
        <v>Текстил, Антибактериална Стелка, Ортопедична Стелка,Сменяема Стелка</v>
      </c>
    </row>
    <row r="191" spans="1:26" ht="12.75" customHeight="1" x14ac:dyDescent="0.2">
      <c r="A191" s="2" t="s">
        <v>439</v>
      </c>
      <c r="B191" s="2" t="s">
        <v>440</v>
      </c>
      <c r="C191" s="2" t="s">
        <v>441</v>
      </c>
      <c r="D191" s="2" t="s">
        <v>2269</v>
      </c>
      <c r="E191" s="2" t="s">
        <v>2623</v>
      </c>
      <c r="F191" s="6" t="s">
        <v>3063</v>
      </c>
      <c r="G191" s="2" t="s">
        <v>424</v>
      </c>
      <c r="H191" s="2" t="s">
        <v>35</v>
      </c>
      <c r="I191" s="2" t="s">
        <v>3132</v>
      </c>
      <c r="J191" s="2" t="s">
        <v>1783</v>
      </c>
      <c r="K191" s="2" t="s">
        <v>2312</v>
      </c>
      <c r="L191" s="2" t="s">
        <v>409</v>
      </c>
      <c r="M191" s="7" t="s">
        <v>442</v>
      </c>
      <c r="N191" s="2" t="s">
        <v>3253</v>
      </c>
      <c r="O191" s="2" t="s">
        <v>411</v>
      </c>
      <c r="P191" s="2" t="s">
        <v>3186</v>
      </c>
      <c r="Q191" s="2" t="s">
        <v>3177</v>
      </c>
      <c r="R191" s="2" t="s">
        <v>3155</v>
      </c>
      <c r="S191" s="2" t="s">
        <v>3096</v>
      </c>
      <c r="T191" s="2" t="s">
        <v>2364</v>
      </c>
      <c r="U191" s="2" t="s">
        <v>119</v>
      </c>
      <c r="V191" s="2" t="s">
        <v>2416</v>
      </c>
      <c r="W191" s="2" t="s">
        <v>208</v>
      </c>
      <c r="Y191" t="str">
        <f>PROPER(Table1[[#This Row],[Industry]])</f>
        <v>Пожарникари И Спасители</v>
      </c>
      <c r="Z191" t="str">
        <f>PROPER(Table1[[#This Row],[Insole]])</f>
        <v>Текстил,Сменяема Стелка</v>
      </c>
    </row>
    <row r="192" spans="1:26" ht="12.75" customHeight="1" x14ac:dyDescent="0.2">
      <c r="A192" s="2" t="s">
        <v>443</v>
      </c>
      <c r="B192" s="2" t="s">
        <v>444</v>
      </c>
      <c r="C192" s="2" t="s">
        <v>445</v>
      </c>
      <c r="D192" s="2" t="s">
        <v>2267</v>
      </c>
      <c r="E192" s="2" t="s">
        <v>2624</v>
      </c>
      <c r="F192" s="6" t="s">
        <v>3063</v>
      </c>
      <c r="G192" s="2" t="s">
        <v>424</v>
      </c>
      <c r="H192" s="2" t="s">
        <v>35</v>
      </c>
      <c r="I192" s="2" t="s">
        <v>3132</v>
      </c>
      <c r="J192" s="2" t="s">
        <v>1783</v>
      </c>
      <c r="K192" s="2" t="s">
        <v>2312</v>
      </c>
      <c r="L192" s="2" t="s">
        <v>409</v>
      </c>
      <c r="M192" s="7" t="s">
        <v>442</v>
      </c>
      <c r="N192" s="2" t="s">
        <v>3253</v>
      </c>
      <c r="O192" s="2" t="s">
        <v>411</v>
      </c>
      <c r="P192" s="2" t="s">
        <v>3186</v>
      </c>
      <c r="Q192" s="2" t="s">
        <v>3177</v>
      </c>
      <c r="R192" s="2" t="s">
        <v>3155</v>
      </c>
      <c r="S192" s="2" t="s">
        <v>3096</v>
      </c>
      <c r="T192" s="2" t="s">
        <v>2364</v>
      </c>
      <c r="U192" s="2" t="s">
        <v>119</v>
      </c>
      <c r="V192" s="2" t="s">
        <v>2417</v>
      </c>
      <c r="W192" s="2" t="s">
        <v>208</v>
      </c>
      <c r="Y192" t="str">
        <f>PROPER(Table1[[#This Row],[Industry]])</f>
        <v>Пожарникари И Спасители</v>
      </c>
      <c r="Z192" t="str">
        <f>PROPER(Table1[[#This Row],[Insole]])</f>
        <v>Текстил,Сменяема Стелка</v>
      </c>
    </row>
    <row r="193" spans="1:26" ht="12.75" customHeight="1" x14ac:dyDescent="0.2">
      <c r="A193" s="2" t="s">
        <v>421</v>
      </c>
      <c r="B193" s="2" t="s">
        <v>422</v>
      </c>
      <c r="C193" s="2" t="s">
        <v>423</v>
      </c>
      <c r="D193" s="2" t="s">
        <v>2268</v>
      </c>
      <c r="E193" s="2" t="s">
        <v>2619</v>
      </c>
      <c r="F193" s="6" t="s">
        <v>3063</v>
      </c>
      <c r="G193" s="2" t="s">
        <v>424</v>
      </c>
      <c r="H193" s="2" t="s">
        <v>35</v>
      </c>
      <c r="I193" s="2" t="s">
        <v>3132</v>
      </c>
      <c r="J193" s="2" t="s">
        <v>1783</v>
      </c>
      <c r="K193" s="2" t="s">
        <v>2252</v>
      </c>
      <c r="L193" s="2" t="s">
        <v>409</v>
      </c>
      <c r="M193" s="7" t="s">
        <v>425</v>
      </c>
      <c r="N193" s="2" t="s">
        <v>3253</v>
      </c>
      <c r="O193" s="2" t="s">
        <v>411</v>
      </c>
      <c r="P193" s="2" t="s">
        <v>3186</v>
      </c>
      <c r="Q193" s="2" t="s">
        <v>3177</v>
      </c>
      <c r="R193" s="2" t="s">
        <v>3155</v>
      </c>
      <c r="S193" s="2" t="s">
        <v>3096</v>
      </c>
      <c r="T193" s="2" t="s">
        <v>2364</v>
      </c>
      <c r="U193" s="2" t="s">
        <v>119</v>
      </c>
      <c r="V193" s="2" t="s">
        <v>2416</v>
      </c>
      <c r="W193" s="2" t="s">
        <v>208</v>
      </c>
      <c r="Y193" t="str">
        <f>PROPER(Table1[[#This Row],[Industry]])</f>
        <v>Пожарникари И Спасители</v>
      </c>
      <c r="Z193" t="str">
        <f>PROPER(Table1[[#This Row],[Insole]])</f>
        <v>Текстил,Сменяема Стелка</v>
      </c>
    </row>
    <row r="194" spans="1:26" ht="12.75" customHeight="1" x14ac:dyDescent="0.2">
      <c r="A194" s="2" t="s">
        <v>430</v>
      </c>
      <c r="B194" s="2" t="s">
        <v>431</v>
      </c>
      <c r="C194" s="2" t="s">
        <v>432</v>
      </c>
      <c r="D194" s="2" t="s">
        <v>2253</v>
      </c>
      <c r="E194" s="2" t="s">
        <v>2621</v>
      </c>
      <c r="F194" s="6" t="s">
        <v>3063</v>
      </c>
      <c r="G194" s="2" t="s">
        <v>424</v>
      </c>
      <c r="H194" s="2" t="s">
        <v>35</v>
      </c>
      <c r="I194" s="2" t="s">
        <v>3132</v>
      </c>
      <c r="J194" s="2" t="s">
        <v>1783</v>
      </c>
      <c r="K194" s="2" t="s">
        <v>2252</v>
      </c>
      <c r="L194" s="2" t="s">
        <v>409</v>
      </c>
      <c r="M194" s="7" t="s">
        <v>433</v>
      </c>
      <c r="N194" s="2" t="s">
        <v>3253</v>
      </c>
      <c r="O194" s="2" t="s">
        <v>411</v>
      </c>
      <c r="P194" s="2" t="s">
        <v>3186</v>
      </c>
      <c r="Q194" s="2" t="s">
        <v>3177</v>
      </c>
      <c r="R194" s="2" t="s">
        <v>3155</v>
      </c>
      <c r="S194" s="2" t="s">
        <v>3096</v>
      </c>
      <c r="T194" s="2" t="s">
        <v>2364</v>
      </c>
      <c r="U194" s="2" t="s">
        <v>119</v>
      </c>
      <c r="V194" s="2" t="s">
        <v>2417</v>
      </c>
      <c r="W194" s="2" t="s">
        <v>208</v>
      </c>
      <c r="Y194" t="str">
        <f>PROPER(Table1[[#This Row],[Industry]])</f>
        <v>Пожарникари И Спасители</v>
      </c>
      <c r="Z194" t="str">
        <f>PROPER(Table1[[#This Row],[Insole]])</f>
        <v>Текстил,Сменяема Стелка</v>
      </c>
    </row>
    <row r="195" spans="1:26" ht="12.75" customHeight="1" x14ac:dyDescent="0.2">
      <c r="A195" s="2" t="s">
        <v>426</v>
      </c>
      <c r="B195" s="2" t="s">
        <v>427</v>
      </c>
      <c r="C195" s="2" t="s">
        <v>428</v>
      </c>
      <c r="D195" s="2" t="s">
        <v>1843</v>
      </c>
      <c r="E195" s="2" t="s">
        <v>2620</v>
      </c>
      <c r="F195" s="6" t="s">
        <v>3072</v>
      </c>
      <c r="G195" s="2" t="s">
        <v>424</v>
      </c>
      <c r="H195" s="2" t="s">
        <v>35</v>
      </c>
      <c r="I195" s="2" t="s">
        <v>3132</v>
      </c>
      <c r="J195" s="2" t="s">
        <v>1783</v>
      </c>
      <c r="K195" s="2" t="s">
        <v>1787</v>
      </c>
      <c r="L195" s="2" t="s">
        <v>95</v>
      </c>
      <c r="M195" s="7" t="s">
        <v>429</v>
      </c>
      <c r="N195" s="2" t="s">
        <v>3253</v>
      </c>
      <c r="O195" s="2" t="s">
        <v>2324</v>
      </c>
      <c r="P195" s="2" t="s">
        <v>3186</v>
      </c>
      <c r="Q195" s="2" t="s">
        <v>3177</v>
      </c>
      <c r="R195" s="2" t="s">
        <v>3155</v>
      </c>
      <c r="S195" s="2" t="s">
        <v>3096</v>
      </c>
      <c r="T195" s="2" t="s">
        <v>2364</v>
      </c>
      <c r="U195" s="2" t="s">
        <v>119</v>
      </c>
      <c r="V195" s="2" t="s">
        <v>2417</v>
      </c>
      <c r="W195" s="2" t="s">
        <v>208</v>
      </c>
      <c r="Y195" t="str">
        <f>PROPER(Table1[[#This Row],[Industry]])</f>
        <v>Пожарникари И Спасители</v>
      </c>
      <c r="Z195" t="str">
        <f>PROPER(Table1[[#This Row],[Insole]])</f>
        <v>Текстил,Сменяема Стелка</v>
      </c>
    </row>
    <row r="196" spans="1:26" ht="12.75" customHeight="1" x14ac:dyDescent="0.2">
      <c r="A196" s="2" t="s">
        <v>318</v>
      </c>
      <c r="B196" s="2" t="s">
        <v>319</v>
      </c>
      <c r="C196" s="2" t="s">
        <v>320</v>
      </c>
      <c r="D196" s="2" t="s">
        <v>1832</v>
      </c>
      <c r="E196" s="2" t="s">
        <v>2589</v>
      </c>
      <c r="F196" s="6" t="s">
        <v>3064</v>
      </c>
      <c r="G196" s="2" t="s">
        <v>321</v>
      </c>
      <c r="H196" s="2" t="s">
        <v>35</v>
      </c>
      <c r="I196" s="2" t="s">
        <v>3136</v>
      </c>
      <c r="J196" s="2" t="s">
        <v>1783</v>
      </c>
      <c r="K196" s="2" t="s">
        <v>1787</v>
      </c>
      <c r="L196" s="2" t="s">
        <v>95</v>
      </c>
      <c r="M196" s="7" t="s">
        <v>322</v>
      </c>
      <c r="N196" s="2" t="s">
        <v>3196</v>
      </c>
      <c r="O196" s="2"/>
      <c r="P196" s="2" t="s">
        <v>3185</v>
      </c>
      <c r="Q196" s="2" t="s">
        <v>3171</v>
      </c>
      <c r="R196" s="2" t="s">
        <v>3162</v>
      </c>
      <c r="S196" s="2" t="s">
        <v>2316</v>
      </c>
      <c r="T196" s="2" t="s">
        <v>2368</v>
      </c>
      <c r="U196" s="2" t="s">
        <v>166</v>
      </c>
      <c r="V196" s="2" t="s">
        <v>2407</v>
      </c>
      <c r="W196" s="2"/>
      <c r="Y196" t="str">
        <f>PROPER(Table1[[#This Row],[Industry]])</f>
        <v>Тежка Индустрия</v>
      </c>
      <c r="Z196" t="str">
        <f>PROPER(Table1[[#This Row],[Insole]])</f>
        <v>Текстил</v>
      </c>
    </row>
    <row r="197" spans="1:26" ht="12.75" customHeight="1" x14ac:dyDescent="0.2">
      <c r="A197" s="2" t="s">
        <v>92</v>
      </c>
      <c r="B197" s="2" t="s">
        <v>93</v>
      </c>
      <c r="C197" s="2" t="s">
        <v>94</v>
      </c>
      <c r="D197" s="2" t="s">
        <v>1986</v>
      </c>
      <c r="E197" s="2" t="s">
        <v>2530</v>
      </c>
      <c r="F197" s="2"/>
      <c r="G197" s="2" t="s">
        <v>47</v>
      </c>
      <c r="H197" s="2" t="s">
        <v>35</v>
      </c>
      <c r="I197" s="2" t="s">
        <v>3101</v>
      </c>
      <c r="J197" s="2" t="s">
        <v>3190</v>
      </c>
      <c r="K197" s="2" t="s">
        <v>1984</v>
      </c>
      <c r="L197" s="2" t="s">
        <v>95</v>
      </c>
      <c r="M197" s="7" t="s">
        <v>48</v>
      </c>
      <c r="N197" s="2" t="s">
        <v>3206</v>
      </c>
      <c r="O197" s="3" t="s">
        <v>2322</v>
      </c>
      <c r="P197" s="2" t="s">
        <v>3180</v>
      </c>
      <c r="Q197" s="2" t="s">
        <v>3168</v>
      </c>
      <c r="R197" s="2" t="s">
        <v>3155</v>
      </c>
      <c r="S197" s="2" t="s">
        <v>2326</v>
      </c>
      <c r="T197" s="2" t="s">
        <v>2368</v>
      </c>
      <c r="U197" s="2" t="s">
        <v>49</v>
      </c>
      <c r="V197" s="2" t="s">
        <v>2380</v>
      </c>
      <c r="W197" s="2" t="s">
        <v>49</v>
      </c>
      <c r="Y197" t="str">
        <f>PROPER(Table1[[#This Row],[Industry]])</f>
        <v>Хранително-Вкусова Индустрия, Хорека, Фармацевтика</v>
      </c>
      <c r="Z197" t="str">
        <f>PROPER(Table1[[#This Row],[Insole]])</f>
        <v>Текстил,Сменяема Стелка</v>
      </c>
    </row>
    <row r="198" spans="1:26" ht="12.75" customHeight="1" x14ac:dyDescent="0.2">
      <c r="A198" s="2" t="s">
        <v>44</v>
      </c>
      <c r="B198" s="2" t="s">
        <v>45</v>
      </c>
      <c r="C198" s="2" t="s">
        <v>46</v>
      </c>
      <c r="D198" s="2" t="s">
        <v>1985</v>
      </c>
      <c r="E198" s="2" t="s">
        <v>2519</v>
      </c>
      <c r="F198" s="2"/>
      <c r="G198" s="2" t="s">
        <v>47</v>
      </c>
      <c r="H198" s="2" t="s">
        <v>35</v>
      </c>
      <c r="I198" s="2" t="s">
        <v>3101</v>
      </c>
      <c r="J198" s="2" t="s">
        <v>3190</v>
      </c>
      <c r="K198" s="2" t="s">
        <v>1984</v>
      </c>
      <c r="L198" s="2" t="s">
        <v>41</v>
      </c>
      <c r="M198" s="7" t="s">
        <v>48</v>
      </c>
      <c r="N198" s="2" t="s">
        <v>3233</v>
      </c>
      <c r="O198" s="3" t="s">
        <v>2322</v>
      </c>
      <c r="P198" s="2" t="s">
        <v>3180</v>
      </c>
      <c r="Q198" s="2" t="s">
        <v>3168</v>
      </c>
      <c r="R198" s="2" t="s">
        <v>3155</v>
      </c>
      <c r="S198" s="2" t="s">
        <v>2326</v>
      </c>
      <c r="T198" s="2" t="s">
        <v>2368</v>
      </c>
      <c r="U198" s="2" t="s">
        <v>49</v>
      </c>
      <c r="V198" s="2" t="s">
        <v>2372</v>
      </c>
      <c r="W198" s="2" t="s">
        <v>49</v>
      </c>
      <c r="Y198" t="str">
        <f>PROPER(Table1[[#This Row],[Industry]])</f>
        <v>Хранително-Вкусова Индустрия, Хорека, Фармацевтика</v>
      </c>
      <c r="Z198" t="str">
        <f>PROPER(Table1[[#This Row],[Insole]])</f>
        <v>Текстил,Сменяема Стелка</v>
      </c>
    </row>
    <row r="199" spans="1:26" ht="12.75" customHeight="1" x14ac:dyDescent="0.2">
      <c r="A199" s="2" t="s">
        <v>1139</v>
      </c>
      <c r="B199" s="2" t="s">
        <v>1140</v>
      </c>
      <c r="C199" s="2" t="s">
        <v>1141</v>
      </c>
      <c r="D199" s="2" t="s">
        <v>1909</v>
      </c>
      <c r="E199" s="2" t="s">
        <v>2837</v>
      </c>
      <c r="F199" s="6" t="s">
        <v>3065</v>
      </c>
      <c r="G199" s="2" t="s">
        <v>1142</v>
      </c>
      <c r="H199" s="2" t="s">
        <v>536</v>
      </c>
      <c r="I199" s="2" t="s">
        <v>3104</v>
      </c>
      <c r="J199" s="2" t="s">
        <v>3190</v>
      </c>
      <c r="K199" s="2" t="s">
        <v>1787</v>
      </c>
      <c r="L199" s="2" t="s">
        <v>95</v>
      </c>
      <c r="M199" s="7" t="s">
        <v>1143</v>
      </c>
      <c r="N199" s="2" t="s">
        <v>3247</v>
      </c>
      <c r="O199" s="3" t="s">
        <v>3226</v>
      </c>
      <c r="P199" s="2" t="s">
        <v>3170</v>
      </c>
      <c r="Q199" s="2" t="s">
        <v>3170</v>
      </c>
      <c r="R199" s="2" t="s">
        <v>3155</v>
      </c>
      <c r="S199" s="2" t="s">
        <v>3092</v>
      </c>
      <c r="T199" s="2" t="s">
        <v>2355</v>
      </c>
      <c r="U199" s="2" t="s">
        <v>118</v>
      </c>
      <c r="V199" s="2" t="s">
        <v>2477</v>
      </c>
      <c r="W199" s="2" t="s">
        <v>119</v>
      </c>
      <c r="Y199" t="str">
        <f>PROPER(Table1[[#This Row],[Industry]])</f>
        <v>Хранително-Вкусова Индустрия, Гастрономия / Кухня, Фармацевтика</v>
      </c>
      <c r="Z199" t="str">
        <f>PROPER(Table1[[#This Row],[Insole]])</f>
        <v>Текстил,Сменяема Стелка</v>
      </c>
    </row>
    <row r="200" spans="1:26" ht="12.75" customHeight="1" x14ac:dyDescent="0.2">
      <c r="A200" s="2" t="s">
        <v>1147</v>
      </c>
      <c r="B200" s="2" t="s">
        <v>1148</v>
      </c>
      <c r="C200" s="2" t="s">
        <v>1149</v>
      </c>
      <c r="D200" s="2" t="s">
        <v>1911</v>
      </c>
      <c r="E200" s="2" t="s">
        <v>2839</v>
      </c>
      <c r="F200" s="6" t="s">
        <v>3065</v>
      </c>
      <c r="G200" s="2" t="s">
        <v>1142</v>
      </c>
      <c r="H200" s="2" t="s">
        <v>536</v>
      </c>
      <c r="I200" s="2" t="s">
        <v>3104</v>
      </c>
      <c r="J200" s="2" t="s">
        <v>3190</v>
      </c>
      <c r="K200" s="2" t="s">
        <v>1787</v>
      </c>
      <c r="L200" s="2" t="s">
        <v>95</v>
      </c>
      <c r="M200" s="7" t="s">
        <v>1143</v>
      </c>
      <c r="N200" s="2" t="s">
        <v>3247</v>
      </c>
      <c r="O200" s="3" t="s">
        <v>3226</v>
      </c>
      <c r="P200" s="2" t="s">
        <v>3170</v>
      </c>
      <c r="Q200" s="2" t="s">
        <v>3170</v>
      </c>
      <c r="R200" s="2" t="s">
        <v>3155</v>
      </c>
      <c r="S200" s="2" t="s">
        <v>3092</v>
      </c>
      <c r="T200" s="2" t="s">
        <v>2365</v>
      </c>
      <c r="U200" s="2" t="s">
        <v>118</v>
      </c>
      <c r="V200" s="2" t="s">
        <v>2478</v>
      </c>
      <c r="W200" s="2" t="s">
        <v>119</v>
      </c>
      <c r="Y200" t="str">
        <f>PROPER(Table1[[#This Row],[Industry]])</f>
        <v>Хранително-Вкусова Индустрия, Гастрономия / Кухня, Фармацевтика</v>
      </c>
      <c r="Z200" t="str">
        <f>PROPER(Table1[[#This Row],[Insole]])</f>
        <v>Текстил,Сменяема Стелка</v>
      </c>
    </row>
    <row r="201" spans="1:26" ht="12.75" customHeight="1" x14ac:dyDescent="0.2">
      <c r="A201" s="2" t="s">
        <v>1153</v>
      </c>
      <c r="B201" s="2" t="s">
        <v>1154</v>
      </c>
      <c r="C201" s="2" t="s">
        <v>1155</v>
      </c>
      <c r="D201" s="2" t="s">
        <v>1913</v>
      </c>
      <c r="E201" s="2" t="s">
        <v>2841</v>
      </c>
      <c r="F201" s="6" t="s">
        <v>3065</v>
      </c>
      <c r="G201" s="2" t="s">
        <v>1142</v>
      </c>
      <c r="H201" s="2" t="s">
        <v>536</v>
      </c>
      <c r="I201" s="2" t="s">
        <v>3104</v>
      </c>
      <c r="J201" s="2" t="s">
        <v>3190</v>
      </c>
      <c r="K201" s="2" t="s">
        <v>1787</v>
      </c>
      <c r="L201" s="2" t="s">
        <v>95</v>
      </c>
      <c r="M201" s="7" t="s">
        <v>1143</v>
      </c>
      <c r="N201" s="2" t="s">
        <v>3247</v>
      </c>
      <c r="O201" s="3" t="s">
        <v>3226</v>
      </c>
      <c r="P201" s="2" t="s">
        <v>3170</v>
      </c>
      <c r="Q201" s="2" t="s">
        <v>3162</v>
      </c>
      <c r="R201" s="2" t="s">
        <v>3155</v>
      </c>
      <c r="S201" s="2" t="s">
        <v>3092</v>
      </c>
      <c r="T201" s="2" t="s">
        <v>2369</v>
      </c>
      <c r="U201" s="2" t="s">
        <v>118</v>
      </c>
      <c r="V201" s="2" t="s">
        <v>2479</v>
      </c>
      <c r="W201" s="2" t="s">
        <v>119</v>
      </c>
      <c r="Y201" t="str">
        <f>PROPER(Table1[[#This Row],[Industry]])</f>
        <v>Хранително-Вкусова Индустрия, Гастрономия / Кухня, Фармацевтика</v>
      </c>
      <c r="Z201" t="str">
        <f>PROPER(Table1[[#This Row],[Insole]])</f>
        <v>Текстил,Сменяема Стелка</v>
      </c>
    </row>
    <row r="202" spans="1:26" ht="12.75" customHeight="1" x14ac:dyDescent="0.2">
      <c r="A202" s="2" t="s">
        <v>1175</v>
      </c>
      <c r="B202" s="2" t="s">
        <v>1176</v>
      </c>
      <c r="C202" s="2" t="s">
        <v>1177</v>
      </c>
      <c r="D202" s="2" t="s">
        <v>2041</v>
      </c>
      <c r="E202" s="2" t="s">
        <v>2848</v>
      </c>
      <c r="F202" s="6" t="s">
        <v>3065</v>
      </c>
      <c r="G202" s="2" t="s">
        <v>1142</v>
      </c>
      <c r="H202" s="2" t="s">
        <v>536</v>
      </c>
      <c r="I202" s="2" t="s">
        <v>3104</v>
      </c>
      <c r="J202" s="2" t="s">
        <v>3190</v>
      </c>
      <c r="K202" s="2" t="s">
        <v>1984</v>
      </c>
      <c r="L202" s="2" t="s">
        <v>95</v>
      </c>
      <c r="M202" s="7" t="s">
        <v>1143</v>
      </c>
      <c r="N202" s="2" t="s">
        <v>3247</v>
      </c>
      <c r="O202" s="3" t="s">
        <v>3225</v>
      </c>
      <c r="P202" s="2" t="s">
        <v>3170</v>
      </c>
      <c r="Q202" s="2" t="s">
        <v>3170</v>
      </c>
      <c r="R202" s="2" t="s">
        <v>3155</v>
      </c>
      <c r="S202" s="2" t="s">
        <v>3092</v>
      </c>
      <c r="T202" s="2" t="s">
        <v>2355</v>
      </c>
      <c r="U202" s="2" t="s">
        <v>118</v>
      </c>
      <c r="V202" s="2" t="s">
        <v>2481</v>
      </c>
      <c r="W202" s="2" t="s">
        <v>119</v>
      </c>
      <c r="Y202" t="str">
        <f>PROPER(Table1[[#This Row],[Industry]])</f>
        <v>Хранително-Вкусова Индустрия, Гастрономия / Кухня, Фармацевтика</v>
      </c>
      <c r="Z202" t="str">
        <f>PROPER(Table1[[#This Row],[Insole]])</f>
        <v>Текстил,Сменяема Стелка</v>
      </c>
    </row>
    <row r="203" spans="1:26" ht="12.75" customHeight="1" x14ac:dyDescent="0.2">
      <c r="A203" s="2" t="s">
        <v>1181</v>
      </c>
      <c r="B203" s="2" t="s">
        <v>1182</v>
      </c>
      <c r="C203" s="2" t="s">
        <v>1183</v>
      </c>
      <c r="D203" s="2" t="s">
        <v>2043</v>
      </c>
      <c r="E203" s="2" t="s">
        <v>2850</v>
      </c>
      <c r="F203" s="6" t="s">
        <v>3065</v>
      </c>
      <c r="G203" s="2" t="s">
        <v>1142</v>
      </c>
      <c r="H203" s="2" t="s">
        <v>536</v>
      </c>
      <c r="I203" s="2" t="s">
        <v>3104</v>
      </c>
      <c r="J203" s="2" t="s">
        <v>3190</v>
      </c>
      <c r="K203" s="2" t="s">
        <v>1984</v>
      </c>
      <c r="L203" s="2" t="s">
        <v>95</v>
      </c>
      <c r="M203" s="7" t="s">
        <v>1143</v>
      </c>
      <c r="N203" s="2" t="s">
        <v>3247</v>
      </c>
      <c r="O203" s="3" t="s">
        <v>3225</v>
      </c>
      <c r="P203" s="2" t="s">
        <v>3170</v>
      </c>
      <c r="Q203" s="2" t="s">
        <v>3170</v>
      </c>
      <c r="R203" s="2" t="s">
        <v>3155</v>
      </c>
      <c r="S203" s="2" t="s">
        <v>3092</v>
      </c>
      <c r="T203" s="2" t="s">
        <v>2365</v>
      </c>
      <c r="U203" s="2" t="s">
        <v>118</v>
      </c>
      <c r="V203" s="2" t="s">
        <v>2482</v>
      </c>
      <c r="W203" s="2" t="s">
        <v>119</v>
      </c>
      <c r="Y203" t="str">
        <f>PROPER(Table1[[#This Row],[Industry]])</f>
        <v>Хранително-Вкусова Индустрия, Гастрономия / Кухня, Фармацевтика</v>
      </c>
      <c r="Z203" t="str">
        <f>PROPER(Table1[[#This Row],[Insole]])</f>
        <v>Текстил,Сменяема Стелка</v>
      </c>
    </row>
    <row r="204" spans="1:26" ht="12.75" customHeight="1" x14ac:dyDescent="0.2">
      <c r="A204" s="2" t="s">
        <v>1187</v>
      </c>
      <c r="B204" s="2" t="s">
        <v>1188</v>
      </c>
      <c r="C204" s="2" t="s">
        <v>1189</v>
      </c>
      <c r="D204" s="2" t="s">
        <v>2045</v>
      </c>
      <c r="E204" s="2" t="s">
        <v>2852</v>
      </c>
      <c r="F204" s="6" t="s">
        <v>3065</v>
      </c>
      <c r="G204" s="2" t="s">
        <v>1142</v>
      </c>
      <c r="H204" s="2" t="s">
        <v>536</v>
      </c>
      <c r="I204" s="2" t="s">
        <v>3104</v>
      </c>
      <c r="J204" s="2" t="s">
        <v>3190</v>
      </c>
      <c r="K204" s="2" t="s">
        <v>1984</v>
      </c>
      <c r="L204" s="2" t="s">
        <v>95</v>
      </c>
      <c r="M204" s="7" t="s">
        <v>1143</v>
      </c>
      <c r="N204" s="2" t="s">
        <v>3247</v>
      </c>
      <c r="O204" s="3" t="s">
        <v>3225</v>
      </c>
      <c r="P204" s="2" t="s">
        <v>3170</v>
      </c>
      <c r="Q204" s="2" t="s">
        <v>3162</v>
      </c>
      <c r="R204" s="2" t="s">
        <v>3155</v>
      </c>
      <c r="S204" s="2" t="s">
        <v>3092</v>
      </c>
      <c r="T204" s="2" t="s">
        <v>2369</v>
      </c>
      <c r="U204" s="2" t="s">
        <v>118</v>
      </c>
      <c r="V204" s="2" t="s">
        <v>2484</v>
      </c>
      <c r="W204" s="2" t="s">
        <v>119</v>
      </c>
      <c r="Y204" t="str">
        <f>PROPER(Table1[[#This Row],[Industry]])</f>
        <v>Хранително-Вкусова Индустрия, Гастрономия / Кухня, Фармацевтика</v>
      </c>
      <c r="Z204" t="str">
        <f>PROPER(Table1[[#This Row],[Insole]])</f>
        <v>Текстил,Сменяема Стелка</v>
      </c>
    </row>
    <row r="205" spans="1:26" ht="12.75" customHeight="1" x14ac:dyDescent="0.2">
      <c r="A205" s="2" t="s">
        <v>1156</v>
      </c>
      <c r="B205" s="2" t="s">
        <v>1157</v>
      </c>
      <c r="C205" s="2" t="s">
        <v>1158</v>
      </c>
      <c r="D205" s="2" t="s">
        <v>1914</v>
      </c>
      <c r="E205" s="2" t="s">
        <v>2842</v>
      </c>
      <c r="F205" s="6" t="s">
        <v>3065</v>
      </c>
      <c r="G205" s="2" t="s">
        <v>1142</v>
      </c>
      <c r="H205" s="2" t="s">
        <v>536</v>
      </c>
      <c r="I205" s="2" t="s">
        <v>3104</v>
      </c>
      <c r="J205" s="2" t="s">
        <v>1783</v>
      </c>
      <c r="K205" s="2" t="s">
        <v>1787</v>
      </c>
      <c r="L205" s="2" t="s">
        <v>95</v>
      </c>
      <c r="M205" s="7" t="s">
        <v>1143</v>
      </c>
      <c r="N205" s="2" t="s">
        <v>3228</v>
      </c>
      <c r="O205" s="3" t="s">
        <v>3226</v>
      </c>
      <c r="P205" s="2" t="s">
        <v>3170</v>
      </c>
      <c r="Q205" s="2" t="s">
        <v>3162</v>
      </c>
      <c r="R205" s="2" t="s">
        <v>3155</v>
      </c>
      <c r="S205" s="2" t="s">
        <v>3092</v>
      </c>
      <c r="T205" s="2" t="s">
        <v>2366</v>
      </c>
      <c r="U205" s="2" t="s">
        <v>118</v>
      </c>
      <c r="V205" s="2" t="s">
        <v>2384</v>
      </c>
      <c r="W205" s="2" t="s">
        <v>119</v>
      </c>
      <c r="Y205" t="str">
        <f>PROPER(Table1[[#This Row],[Industry]])</f>
        <v>Хранително-Вкусова Индустрия, Гастрономия / Кухня, Фармацевтика</v>
      </c>
      <c r="Z205" t="str">
        <f>PROPER(Table1[[#This Row],[Insole]])</f>
        <v>Текстил,Сменяема Стелка</v>
      </c>
    </row>
    <row r="206" spans="1:26" ht="12.75" customHeight="1" x14ac:dyDescent="0.2">
      <c r="A206" s="2" t="s">
        <v>1144</v>
      </c>
      <c r="B206" s="2" t="s">
        <v>1145</v>
      </c>
      <c r="C206" s="2" t="s">
        <v>1146</v>
      </c>
      <c r="D206" s="2" t="s">
        <v>1910</v>
      </c>
      <c r="E206" s="2" t="s">
        <v>2838</v>
      </c>
      <c r="F206" s="6" t="s">
        <v>3065</v>
      </c>
      <c r="G206" s="2" t="s">
        <v>1142</v>
      </c>
      <c r="H206" s="2" t="s">
        <v>536</v>
      </c>
      <c r="I206" s="2" t="s">
        <v>3105</v>
      </c>
      <c r="J206" s="2" t="s">
        <v>1783</v>
      </c>
      <c r="K206" s="2" t="s">
        <v>1787</v>
      </c>
      <c r="L206" s="2" t="s">
        <v>95</v>
      </c>
      <c r="M206" s="7" t="s">
        <v>1143</v>
      </c>
      <c r="N206" s="2" t="s">
        <v>3248</v>
      </c>
      <c r="O206" s="3" t="s">
        <v>3226</v>
      </c>
      <c r="P206" s="2" t="s">
        <v>3170</v>
      </c>
      <c r="Q206" s="2" t="s">
        <v>3170</v>
      </c>
      <c r="R206" s="2" t="s">
        <v>3155</v>
      </c>
      <c r="S206" s="2" t="s">
        <v>3092</v>
      </c>
      <c r="T206" s="2" t="s">
        <v>2355</v>
      </c>
      <c r="U206" s="2" t="s">
        <v>118</v>
      </c>
      <c r="V206" s="2" t="s">
        <v>2475</v>
      </c>
      <c r="W206" s="2" t="s">
        <v>119</v>
      </c>
      <c r="Y206" t="str">
        <f>PROPER(Table1[[#This Row],[Industry]])</f>
        <v>Хранително-Вкусова Индустрия, Гастрономия / Кухня, Фармацевтика, Транспорт / Склад И Логистика</v>
      </c>
      <c r="Z206" t="str">
        <f>PROPER(Table1[[#This Row],[Insole]])</f>
        <v>Текстил,Сменяема Стелка</v>
      </c>
    </row>
    <row r="207" spans="1:26" ht="12.75" customHeight="1" x14ac:dyDescent="0.2">
      <c r="A207" s="2" t="s">
        <v>1150</v>
      </c>
      <c r="B207" s="2" t="s">
        <v>1151</v>
      </c>
      <c r="C207" s="2" t="s">
        <v>1152</v>
      </c>
      <c r="D207" s="2" t="s">
        <v>1912</v>
      </c>
      <c r="E207" s="2" t="s">
        <v>2840</v>
      </c>
      <c r="F207" s="6" t="s">
        <v>3065</v>
      </c>
      <c r="G207" s="2" t="s">
        <v>1142</v>
      </c>
      <c r="H207" s="2" t="s">
        <v>536</v>
      </c>
      <c r="I207" s="2" t="s">
        <v>3104</v>
      </c>
      <c r="J207" s="2" t="s">
        <v>1783</v>
      </c>
      <c r="K207" s="2" t="s">
        <v>1787</v>
      </c>
      <c r="L207" s="2" t="s">
        <v>95</v>
      </c>
      <c r="M207" s="7" t="s">
        <v>1143</v>
      </c>
      <c r="N207" s="2" t="s">
        <v>3248</v>
      </c>
      <c r="O207" s="3" t="s">
        <v>3226</v>
      </c>
      <c r="P207" s="2" t="s">
        <v>3170</v>
      </c>
      <c r="Q207" s="2" t="s">
        <v>3170</v>
      </c>
      <c r="R207" s="2" t="s">
        <v>3155</v>
      </c>
      <c r="S207" s="2" t="s">
        <v>3092</v>
      </c>
      <c r="T207" s="2" t="s">
        <v>2365</v>
      </c>
      <c r="U207" s="2" t="s">
        <v>118</v>
      </c>
      <c r="V207" s="2" t="s">
        <v>2476</v>
      </c>
      <c r="W207" s="2" t="s">
        <v>119</v>
      </c>
      <c r="Y207" t="str">
        <f>PROPER(Table1[[#This Row],[Industry]])</f>
        <v>Хранително-Вкусова Индустрия, Гастрономия / Кухня, Фармацевтика</v>
      </c>
      <c r="Z207" t="str">
        <f>PROPER(Table1[[#This Row],[Insole]])</f>
        <v>Текстил,Сменяема Стелка</v>
      </c>
    </row>
    <row r="208" spans="1:26" ht="12.75" customHeight="1" x14ac:dyDescent="0.2">
      <c r="A208" s="2" t="s">
        <v>1190</v>
      </c>
      <c r="B208" s="2" t="s">
        <v>1191</v>
      </c>
      <c r="C208" s="2" t="s">
        <v>1192</v>
      </c>
      <c r="D208" s="2" t="s">
        <v>2046</v>
      </c>
      <c r="E208" s="2" t="s">
        <v>2853</v>
      </c>
      <c r="F208" s="6" t="s">
        <v>3065</v>
      </c>
      <c r="G208" s="2" t="s">
        <v>1142</v>
      </c>
      <c r="H208" s="2" t="s">
        <v>536</v>
      </c>
      <c r="I208" s="2" t="s">
        <v>3104</v>
      </c>
      <c r="J208" s="2" t="s">
        <v>1783</v>
      </c>
      <c r="K208" s="2" t="s">
        <v>1984</v>
      </c>
      <c r="L208" s="2" t="s">
        <v>95</v>
      </c>
      <c r="M208" s="7" t="s">
        <v>1143</v>
      </c>
      <c r="N208" s="2" t="s">
        <v>3228</v>
      </c>
      <c r="O208" s="3" t="s">
        <v>3225</v>
      </c>
      <c r="P208" s="2" t="s">
        <v>3170</v>
      </c>
      <c r="Q208" s="2" t="s">
        <v>3162</v>
      </c>
      <c r="R208" s="2" t="s">
        <v>3155</v>
      </c>
      <c r="S208" s="2" t="s">
        <v>3092</v>
      </c>
      <c r="T208" s="2" t="s">
        <v>2366</v>
      </c>
      <c r="U208" s="2" t="s">
        <v>118</v>
      </c>
      <c r="V208" s="2" t="s">
        <v>2479</v>
      </c>
      <c r="W208" s="2" t="s">
        <v>119</v>
      </c>
      <c r="Y208" t="str">
        <f>PROPER(Table1[[#This Row],[Industry]])</f>
        <v>Хранително-Вкусова Индустрия, Гастрономия / Кухня, Фармацевтика</v>
      </c>
      <c r="Z208" t="str">
        <f>PROPER(Table1[[#This Row],[Insole]])</f>
        <v>Текстил,Сменяема Стелка</v>
      </c>
    </row>
    <row r="209" spans="1:26" ht="12.75" customHeight="1" x14ac:dyDescent="0.2">
      <c r="A209" s="2" t="s">
        <v>1178</v>
      </c>
      <c r="B209" s="2" t="s">
        <v>1179</v>
      </c>
      <c r="C209" s="2" t="s">
        <v>1180</v>
      </c>
      <c r="D209" s="2" t="s">
        <v>2042</v>
      </c>
      <c r="E209" s="2" t="s">
        <v>2849</v>
      </c>
      <c r="F209" s="6" t="s">
        <v>3065</v>
      </c>
      <c r="G209" s="2" t="s">
        <v>1142</v>
      </c>
      <c r="H209" s="2" t="s">
        <v>536</v>
      </c>
      <c r="I209" s="2" t="s">
        <v>3105</v>
      </c>
      <c r="J209" s="2" t="s">
        <v>1783</v>
      </c>
      <c r="K209" s="2" t="s">
        <v>1984</v>
      </c>
      <c r="L209" s="2" t="s">
        <v>95</v>
      </c>
      <c r="M209" s="7" t="s">
        <v>1143</v>
      </c>
      <c r="N209" s="2" t="s">
        <v>3248</v>
      </c>
      <c r="O209" s="3" t="s">
        <v>3225</v>
      </c>
      <c r="P209" s="2" t="s">
        <v>3170</v>
      </c>
      <c r="Q209" s="2" t="s">
        <v>3170</v>
      </c>
      <c r="R209" s="2" t="s">
        <v>3155</v>
      </c>
      <c r="S209" s="2" t="s">
        <v>3092</v>
      </c>
      <c r="T209" s="2" t="s">
        <v>2355</v>
      </c>
      <c r="U209" s="2" t="s">
        <v>118</v>
      </c>
      <c r="V209" s="2" t="s">
        <v>2482</v>
      </c>
      <c r="W209" s="2" t="s">
        <v>119</v>
      </c>
      <c r="Y209" t="str">
        <f>PROPER(Table1[[#This Row],[Industry]])</f>
        <v>Хранително-Вкусова Индустрия, Гастрономия / Кухня, Фармацевтика, Транспорт / Склад И Логистика</v>
      </c>
      <c r="Z209" t="str">
        <f>PROPER(Table1[[#This Row],[Insole]])</f>
        <v>Текстил,Сменяема Стелка</v>
      </c>
    </row>
    <row r="210" spans="1:26" ht="12.75" customHeight="1" x14ac:dyDescent="0.2">
      <c r="A210" s="2" t="s">
        <v>1184</v>
      </c>
      <c r="B210" s="2" t="s">
        <v>1185</v>
      </c>
      <c r="C210" s="2" t="s">
        <v>1186</v>
      </c>
      <c r="D210" s="2" t="s">
        <v>2044</v>
      </c>
      <c r="E210" s="2" t="s">
        <v>2851</v>
      </c>
      <c r="F210" s="6" t="s">
        <v>3065</v>
      </c>
      <c r="G210" s="2" t="s">
        <v>1142</v>
      </c>
      <c r="H210" s="2" t="s">
        <v>536</v>
      </c>
      <c r="I210" s="2" t="s">
        <v>3104</v>
      </c>
      <c r="J210" s="2" t="s">
        <v>1783</v>
      </c>
      <c r="K210" s="2" t="s">
        <v>1984</v>
      </c>
      <c r="L210" s="2" t="s">
        <v>95</v>
      </c>
      <c r="M210" s="7" t="s">
        <v>1143</v>
      </c>
      <c r="N210" s="2" t="s">
        <v>3248</v>
      </c>
      <c r="O210" s="3" t="s">
        <v>3225</v>
      </c>
      <c r="P210" s="2" t="s">
        <v>3170</v>
      </c>
      <c r="Q210" s="2" t="s">
        <v>3170</v>
      </c>
      <c r="R210" s="2" t="s">
        <v>3155</v>
      </c>
      <c r="S210" s="2" t="s">
        <v>3092</v>
      </c>
      <c r="T210" s="2" t="s">
        <v>2365</v>
      </c>
      <c r="U210" s="2" t="s">
        <v>118</v>
      </c>
      <c r="V210" s="2" t="s">
        <v>2483</v>
      </c>
      <c r="W210" s="2" t="s">
        <v>119</v>
      </c>
      <c r="Y210" t="str">
        <f>PROPER(Table1[[#This Row],[Industry]])</f>
        <v>Хранително-Вкусова Индустрия, Гастрономия / Кухня, Фармацевтика</v>
      </c>
      <c r="Z210" t="str">
        <f>PROPER(Table1[[#This Row],[Insole]])</f>
        <v>Текстил,Сменяема Стелка</v>
      </c>
    </row>
    <row r="211" spans="1:26" ht="12.75" customHeight="1" x14ac:dyDescent="0.2">
      <c r="A211" s="2" t="s">
        <v>1163</v>
      </c>
      <c r="B211" s="2" t="s">
        <v>1164</v>
      </c>
      <c r="C211" s="2" t="s">
        <v>1165</v>
      </c>
      <c r="D211" s="2" t="s">
        <v>1916</v>
      </c>
      <c r="E211" s="2" t="s">
        <v>2844</v>
      </c>
      <c r="F211" s="6" t="s">
        <v>3065</v>
      </c>
      <c r="G211" s="2" t="s">
        <v>1162</v>
      </c>
      <c r="H211" s="2" t="s">
        <v>536</v>
      </c>
      <c r="I211" s="2" t="s">
        <v>3104</v>
      </c>
      <c r="J211" s="2" t="s">
        <v>1783</v>
      </c>
      <c r="K211" s="2" t="s">
        <v>1787</v>
      </c>
      <c r="L211" s="2" t="s">
        <v>95</v>
      </c>
      <c r="M211" s="7" t="s">
        <v>1143</v>
      </c>
      <c r="N211" s="2" t="s">
        <v>3235</v>
      </c>
      <c r="O211" s="3" t="s">
        <v>3226</v>
      </c>
      <c r="P211" s="2" t="s">
        <v>3170</v>
      </c>
      <c r="Q211" s="2" t="s">
        <v>3162</v>
      </c>
      <c r="R211" s="2" t="s">
        <v>3155</v>
      </c>
      <c r="S211" s="2" t="s">
        <v>3092</v>
      </c>
      <c r="T211" s="2" t="s">
        <v>2366</v>
      </c>
      <c r="U211" s="2" t="s">
        <v>118</v>
      </c>
      <c r="V211" s="2" t="s">
        <v>2480</v>
      </c>
      <c r="W211" s="2" t="s">
        <v>119</v>
      </c>
      <c r="Y211" t="str">
        <f>PROPER(Table1[[#This Row],[Industry]])</f>
        <v>Хранително-Вкусова Индустрия, Гастрономия / Кухня, Фармацевтика</v>
      </c>
      <c r="Z211" t="str">
        <f>PROPER(Table1[[#This Row],[Insole]])</f>
        <v>Текстил,Сменяема Стелка</v>
      </c>
    </row>
    <row r="212" spans="1:26" ht="12.75" customHeight="1" x14ac:dyDescent="0.2">
      <c r="A212" s="2" t="s">
        <v>1159</v>
      </c>
      <c r="B212" s="2" t="s">
        <v>1160</v>
      </c>
      <c r="C212" s="2" t="s">
        <v>1161</v>
      </c>
      <c r="D212" s="2" t="s">
        <v>1915</v>
      </c>
      <c r="E212" s="2" t="s">
        <v>2843</v>
      </c>
      <c r="F212" s="6" t="s">
        <v>3065</v>
      </c>
      <c r="G212" s="2" t="s">
        <v>1162</v>
      </c>
      <c r="H212" s="2" t="s">
        <v>536</v>
      </c>
      <c r="I212" s="2" t="s">
        <v>3105</v>
      </c>
      <c r="J212" s="2" t="s">
        <v>1783</v>
      </c>
      <c r="K212" s="2" t="s">
        <v>1787</v>
      </c>
      <c r="L212" s="2" t="s">
        <v>95</v>
      </c>
      <c r="M212" s="7" t="s">
        <v>1143</v>
      </c>
      <c r="N212" s="2" t="s">
        <v>3249</v>
      </c>
      <c r="O212" s="3" t="s">
        <v>3226</v>
      </c>
      <c r="P212" s="2" t="s">
        <v>3170</v>
      </c>
      <c r="Q212" s="2" t="s">
        <v>3171</v>
      </c>
      <c r="R212" s="2" t="s">
        <v>3155</v>
      </c>
      <c r="S212" s="2" t="s">
        <v>3092</v>
      </c>
      <c r="T212" s="2" t="s">
        <v>2355</v>
      </c>
      <c r="U212" s="2" t="s">
        <v>118</v>
      </c>
      <c r="V212" s="2" t="s">
        <v>2461</v>
      </c>
      <c r="W212" s="2" t="s">
        <v>119</v>
      </c>
      <c r="Y212" t="str">
        <f>PROPER(Table1[[#This Row],[Industry]])</f>
        <v>Хранително-Вкусова Индустрия, Гастрономия / Кухня, Фармацевтика, Транспорт / Склад И Логистика</v>
      </c>
      <c r="Z212" t="str">
        <f>PROPER(Table1[[#This Row],[Insole]])</f>
        <v>Текстил,Сменяема Стелка</v>
      </c>
    </row>
    <row r="213" spans="1:26" ht="12.75" customHeight="1" x14ac:dyDescent="0.2">
      <c r="A213" s="2" t="s">
        <v>1166</v>
      </c>
      <c r="B213" s="2" t="s">
        <v>1167</v>
      </c>
      <c r="C213" s="2" t="s">
        <v>1168</v>
      </c>
      <c r="D213" s="2" t="s">
        <v>1917</v>
      </c>
      <c r="E213" s="2" t="s">
        <v>2845</v>
      </c>
      <c r="F213" s="6" t="s">
        <v>3065</v>
      </c>
      <c r="G213" s="2" t="s">
        <v>1162</v>
      </c>
      <c r="H213" s="2" t="s">
        <v>536</v>
      </c>
      <c r="I213" s="2" t="s">
        <v>3104</v>
      </c>
      <c r="J213" s="2" t="s">
        <v>1783</v>
      </c>
      <c r="K213" s="2" t="s">
        <v>1787</v>
      </c>
      <c r="L213" s="2" t="s">
        <v>95</v>
      </c>
      <c r="M213" s="7" t="s">
        <v>1143</v>
      </c>
      <c r="N213" s="2" t="s">
        <v>3249</v>
      </c>
      <c r="O213" s="3" t="s">
        <v>3226</v>
      </c>
      <c r="P213" s="2" t="s">
        <v>3170</v>
      </c>
      <c r="Q213" s="2" t="s">
        <v>3171</v>
      </c>
      <c r="R213" s="2" t="s">
        <v>3155</v>
      </c>
      <c r="S213" s="2" t="s">
        <v>3092</v>
      </c>
      <c r="T213" s="2" t="s">
        <v>2365</v>
      </c>
      <c r="U213" s="2" t="s">
        <v>118</v>
      </c>
      <c r="V213" s="2" t="s">
        <v>2476</v>
      </c>
      <c r="W213" s="2" t="s">
        <v>119</v>
      </c>
      <c r="Y213" t="str">
        <f>PROPER(Table1[[#This Row],[Industry]])</f>
        <v>Хранително-Вкусова Индустрия, Гастрономия / Кухня, Фармацевтика</v>
      </c>
      <c r="Z213" t="str">
        <f>PROPER(Table1[[#This Row],[Insole]])</f>
        <v>Текстил,Сменяема Стелка</v>
      </c>
    </row>
    <row r="214" spans="1:26" ht="12.75" customHeight="1" x14ac:dyDescent="0.2">
      <c r="A214" s="2" t="s">
        <v>1196</v>
      </c>
      <c r="B214" s="2" t="s">
        <v>1197</v>
      </c>
      <c r="C214" s="2" t="s">
        <v>1198</v>
      </c>
      <c r="D214" s="2" t="s">
        <v>2048</v>
      </c>
      <c r="E214" s="2" t="s">
        <v>2855</v>
      </c>
      <c r="F214" s="6" t="s">
        <v>3065</v>
      </c>
      <c r="G214" s="2" t="s">
        <v>1162</v>
      </c>
      <c r="H214" s="2" t="s">
        <v>536</v>
      </c>
      <c r="I214" s="2" t="s">
        <v>3104</v>
      </c>
      <c r="J214" s="2" t="s">
        <v>1783</v>
      </c>
      <c r="K214" s="2" t="s">
        <v>1984</v>
      </c>
      <c r="L214" s="2" t="s">
        <v>95</v>
      </c>
      <c r="M214" s="7" t="s">
        <v>1143</v>
      </c>
      <c r="N214" s="2" t="s">
        <v>3235</v>
      </c>
      <c r="O214" s="3" t="s">
        <v>3225</v>
      </c>
      <c r="P214" s="2" t="s">
        <v>3170</v>
      </c>
      <c r="Q214" s="2" t="s">
        <v>3162</v>
      </c>
      <c r="R214" s="2" t="s">
        <v>3155</v>
      </c>
      <c r="S214" s="2" t="s">
        <v>3092</v>
      </c>
      <c r="T214" s="2" t="s">
        <v>2366</v>
      </c>
      <c r="U214" s="2" t="s">
        <v>118</v>
      </c>
      <c r="V214" s="2" t="s">
        <v>2479</v>
      </c>
      <c r="W214" s="2" t="s">
        <v>119</v>
      </c>
      <c r="Y214" t="str">
        <f>PROPER(Table1[[#This Row],[Industry]])</f>
        <v>Хранително-Вкусова Индустрия, Гастрономия / Кухня, Фармацевтика</v>
      </c>
      <c r="Z214" t="str">
        <f>PROPER(Table1[[#This Row],[Insole]])</f>
        <v>Текстил,Сменяема Стелка</v>
      </c>
    </row>
    <row r="215" spans="1:26" ht="12.75" customHeight="1" x14ac:dyDescent="0.2">
      <c r="A215" s="2" t="s">
        <v>1193</v>
      </c>
      <c r="B215" s="2" t="s">
        <v>1194</v>
      </c>
      <c r="C215" s="2" t="s">
        <v>1195</v>
      </c>
      <c r="D215" s="2" t="s">
        <v>2047</v>
      </c>
      <c r="E215" s="2" t="s">
        <v>2854</v>
      </c>
      <c r="F215" s="6" t="s">
        <v>3065</v>
      </c>
      <c r="G215" s="2" t="s">
        <v>1162</v>
      </c>
      <c r="H215" s="2" t="s">
        <v>536</v>
      </c>
      <c r="I215" s="2" t="s">
        <v>3105</v>
      </c>
      <c r="J215" s="2" t="s">
        <v>1783</v>
      </c>
      <c r="K215" s="2" t="s">
        <v>1984</v>
      </c>
      <c r="L215" s="2" t="s">
        <v>95</v>
      </c>
      <c r="M215" s="7" t="s">
        <v>1143</v>
      </c>
      <c r="N215" s="2" t="s">
        <v>3249</v>
      </c>
      <c r="O215" s="3" t="s">
        <v>3225</v>
      </c>
      <c r="P215" s="2" t="s">
        <v>3170</v>
      </c>
      <c r="Q215" s="2" t="s">
        <v>3171</v>
      </c>
      <c r="R215" s="2" t="s">
        <v>3155</v>
      </c>
      <c r="S215" s="2" t="s">
        <v>3092</v>
      </c>
      <c r="T215" s="2" t="s">
        <v>2355</v>
      </c>
      <c r="U215" s="2" t="s">
        <v>118</v>
      </c>
      <c r="V215" s="2" t="s">
        <v>2387</v>
      </c>
      <c r="W215" s="2" t="s">
        <v>119</v>
      </c>
      <c r="Y215" t="str">
        <f>PROPER(Table1[[#This Row],[Industry]])</f>
        <v>Хранително-Вкусова Индустрия, Гастрономия / Кухня, Фармацевтика, Транспорт / Склад И Логистика</v>
      </c>
      <c r="Z215" t="str">
        <f>PROPER(Table1[[#This Row],[Insole]])</f>
        <v>Текстил,Сменяема Стелка</v>
      </c>
    </row>
    <row r="216" spans="1:26" ht="12.75" customHeight="1" x14ac:dyDescent="0.2">
      <c r="A216" s="2" t="s">
        <v>1199</v>
      </c>
      <c r="B216" s="2" t="s">
        <v>1200</v>
      </c>
      <c r="C216" s="2" t="s">
        <v>1201</v>
      </c>
      <c r="D216" s="2" t="s">
        <v>2049</v>
      </c>
      <c r="E216" s="2" t="s">
        <v>2856</v>
      </c>
      <c r="F216" s="6" t="s">
        <v>3065</v>
      </c>
      <c r="G216" s="2" t="s">
        <v>1162</v>
      </c>
      <c r="H216" s="2" t="s">
        <v>536</v>
      </c>
      <c r="I216" s="2" t="s">
        <v>3104</v>
      </c>
      <c r="J216" s="2" t="s">
        <v>1783</v>
      </c>
      <c r="K216" s="2" t="s">
        <v>1984</v>
      </c>
      <c r="L216" s="2" t="s">
        <v>95</v>
      </c>
      <c r="M216" s="7" t="s">
        <v>1143</v>
      </c>
      <c r="N216" s="2" t="s">
        <v>3249</v>
      </c>
      <c r="O216" s="3" t="s">
        <v>3225</v>
      </c>
      <c r="P216" s="2" t="s">
        <v>3170</v>
      </c>
      <c r="Q216" s="2" t="s">
        <v>3171</v>
      </c>
      <c r="R216" s="2" t="s">
        <v>3155</v>
      </c>
      <c r="S216" s="2" t="s">
        <v>3092</v>
      </c>
      <c r="T216" s="2" t="s">
        <v>2365</v>
      </c>
      <c r="U216" s="2" t="s">
        <v>118</v>
      </c>
      <c r="V216" s="2" t="s">
        <v>2483</v>
      </c>
      <c r="W216" s="2" t="s">
        <v>119</v>
      </c>
      <c r="Y216" t="str">
        <f>PROPER(Table1[[#This Row],[Industry]])</f>
        <v>Хранително-Вкусова Индустрия, Гастрономия / Кухня, Фармацевтика</v>
      </c>
      <c r="Z216" t="str">
        <f>PROPER(Table1[[#This Row],[Insole]])</f>
        <v>Текстил,Сменяема Стелка</v>
      </c>
    </row>
    <row r="217" spans="1:26" ht="12.75" customHeight="1" x14ac:dyDescent="0.2">
      <c r="A217" s="2" t="s">
        <v>456</v>
      </c>
      <c r="B217" s="2" t="s">
        <v>457</v>
      </c>
      <c r="C217" s="2" t="s">
        <v>458</v>
      </c>
      <c r="D217" s="2" t="s">
        <v>1847</v>
      </c>
      <c r="E217" s="2" t="s">
        <v>2628</v>
      </c>
      <c r="F217" s="6" t="s">
        <v>3073</v>
      </c>
      <c r="G217" s="2" t="s">
        <v>40</v>
      </c>
      <c r="H217" s="2" t="s">
        <v>35</v>
      </c>
      <c r="I217" s="2" t="s">
        <v>3138</v>
      </c>
      <c r="J217" s="2" t="s">
        <v>1783</v>
      </c>
      <c r="K217" s="2" t="s">
        <v>1787</v>
      </c>
      <c r="L217" s="2" t="s">
        <v>95</v>
      </c>
      <c r="M217" s="7" t="s">
        <v>42</v>
      </c>
      <c r="N217" s="2" t="s">
        <v>3204</v>
      </c>
      <c r="O217" s="2"/>
      <c r="P217" s="2" t="s">
        <v>3170</v>
      </c>
      <c r="Q217" s="2" t="s">
        <v>3171</v>
      </c>
      <c r="R217" s="2" t="s">
        <v>3166</v>
      </c>
      <c r="S217" s="2" t="s">
        <v>2316</v>
      </c>
      <c r="T217" s="2" t="s">
        <v>2368</v>
      </c>
      <c r="U217" s="2" t="s">
        <v>43</v>
      </c>
      <c r="V217" s="2" t="s">
        <v>2419</v>
      </c>
      <c r="W217" s="2"/>
      <c r="Y217" t="str">
        <f>PROPER(Table1[[#This Row],[Industry]])</f>
        <v>Тежка Индустрия, Други</v>
      </c>
      <c r="Z217" t="str">
        <f>PROPER(Table1[[#This Row],[Insole]])</f>
        <v>Текстил, Антибактериална Стелка</v>
      </c>
    </row>
    <row r="218" spans="1:26" ht="12.75" customHeight="1" x14ac:dyDescent="0.2">
      <c r="A218" s="2" t="s">
        <v>37</v>
      </c>
      <c r="B218" s="2" t="s">
        <v>38</v>
      </c>
      <c r="C218" s="2" t="s">
        <v>39</v>
      </c>
      <c r="D218" s="2" t="s">
        <v>1788</v>
      </c>
      <c r="E218" s="2" t="s">
        <v>2518</v>
      </c>
      <c r="F218" s="2"/>
      <c r="G218" s="2" t="s">
        <v>40</v>
      </c>
      <c r="H218" s="2" t="s">
        <v>35</v>
      </c>
      <c r="I218" s="2" t="s">
        <v>3138</v>
      </c>
      <c r="J218" s="2" t="s">
        <v>1783</v>
      </c>
      <c r="K218" s="2" t="s">
        <v>1787</v>
      </c>
      <c r="L218" s="2" t="s">
        <v>41</v>
      </c>
      <c r="M218" s="7" t="s">
        <v>42</v>
      </c>
      <c r="N218" s="2" t="s">
        <v>3202</v>
      </c>
      <c r="O218" s="2"/>
      <c r="P218" s="2" t="s">
        <v>3170</v>
      </c>
      <c r="Q218" s="2" t="s">
        <v>3171</v>
      </c>
      <c r="R218" s="2" t="s">
        <v>3162</v>
      </c>
      <c r="S218" s="2" t="s">
        <v>2316</v>
      </c>
      <c r="T218" s="2" t="s">
        <v>2368</v>
      </c>
      <c r="U218" s="2" t="s">
        <v>43</v>
      </c>
      <c r="V218" s="2" t="s">
        <v>2371</v>
      </c>
      <c r="W218" s="2"/>
      <c r="Y218" t="str">
        <f>PROPER(Table1[[#This Row],[Industry]])</f>
        <v>Тежка Индустрия, Други</v>
      </c>
      <c r="Z218" t="str">
        <f>PROPER(Table1[[#This Row],[Insole]])</f>
        <v>Текстил</v>
      </c>
    </row>
    <row r="219" spans="1:26" ht="12.75" customHeight="1" x14ac:dyDescent="0.2">
      <c r="A219" s="2" t="s">
        <v>326</v>
      </c>
      <c r="B219" s="2" t="s">
        <v>327</v>
      </c>
      <c r="C219" s="2" t="s">
        <v>328</v>
      </c>
      <c r="D219" s="2" t="s">
        <v>1834</v>
      </c>
      <c r="E219" s="2" t="s">
        <v>2591</v>
      </c>
      <c r="F219" s="2"/>
      <c r="G219" s="2" t="s">
        <v>329</v>
      </c>
      <c r="H219" s="2" t="s">
        <v>35</v>
      </c>
      <c r="I219" s="2" t="s">
        <v>3136</v>
      </c>
      <c r="J219" s="2" t="s">
        <v>1783</v>
      </c>
      <c r="K219" s="2" t="s">
        <v>1787</v>
      </c>
      <c r="L219" s="2" t="s">
        <v>3193</v>
      </c>
      <c r="M219" s="7" t="s">
        <v>3193</v>
      </c>
      <c r="N219" s="2" t="s">
        <v>3234</v>
      </c>
      <c r="O219" s="10" t="s">
        <v>3339</v>
      </c>
      <c r="P219" s="2" t="s">
        <v>3170</v>
      </c>
      <c r="Q219" s="2" t="s">
        <v>3162</v>
      </c>
      <c r="R219" s="2" t="s">
        <v>3162</v>
      </c>
      <c r="S219" s="2" t="s">
        <v>2316</v>
      </c>
      <c r="T219" s="2" t="s">
        <v>2368</v>
      </c>
      <c r="U219" s="2" t="s">
        <v>166</v>
      </c>
      <c r="V219" s="2"/>
      <c r="W219" s="2"/>
      <c r="Y219" t="str">
        <f>PROPER(Table1[[#This Row],[Industry]])</f>
        <v>Тежка Индустрия</v>
      </c>
      <c r="Z219" t="str">
        <f>PROPER(Table1[[#This Row],[Insole]])</f>
        <v>Текстил</v>
      </c>
    </row>
    <row r="220" spans="1:26" ht="12.75" customHeight="1" x14ac:dyDescent="0.2">
      <c r="A220" s="2" t="s">
        <v>330</v>
      </c>
      <c r="B220" s="2" t="s">
        <v>331</v>
      </c>
      <c r="C220" s="2" t="s">
        <v>332</v>
      </c>
      <c r="D220" s="2" t="s">
        <v>1835</v>
      </c>
      <c r="E220" s="2" t="s">
        <v>2592</v>
      </c>
      <c r="F220" s="6"/>
      <c r="G220" s="2" t="s">
        <v>329</v>
      </c>
      <c r="H220" s="2" t="s">
        <v>35</v>
      </c>
      <c r="I220" s="2" t="s">
        <v>3144</v>
      </c>
      <c r="J220" s="2" t="s">
        <v>1783</v>
      </c>
      <c r="K220" s="2" t="s">
        <v>1787</v>
      </c>
      <c r="L220" s="2" t="s">
        <v>3193</v>
      </c>
      <c r="M220" s="7" t="s">
        <v>3193</v>
      </c>
      <c r="N220" s="2" t="s">
        <v>3203</v>
      </c>
      <c r="O220" s="2"/>
      <c r="P220" s="2" t="s">
        <v>3170</v>
      </c>
      <c r="Q220" s="2" t="s">
        <v>3170</v>
      </c>
      <c r="R220" s="2" t="s">
        <v>3162</v>
      </c>
      <c r="S220" s="2" t="s">
        <v>2316</v>
      </c>
      <c r="T220" s="2" t="s">
        <v>2368</v>
      </c>
      <c r="U220" s="2" t="s">
        <v>166</v>
      </c>
      <c r="V220" s="2" t="s">
        <v>2408</v>
      </c>
      <c r="W220" s="2"/>
      <c r="Y220" t="str">
        <f>PROPER(Table1[[#This Row],[Industry]])</f>
        <v>Пожарникари И Спасители, Тежка Индустрия</v>
      </c>
      <c r="Z220" t="str">
        <f>PROPER(Table1[[#This Row],[Insole]])</f>
        <v>Текстил</v>
      </c>
    </row>
    <row r="221" spans="1:26" ht="12.75" customHeight="1" x14ac:dyDescent="0.2">
      <c r="A221" s="2" t="s">
        <v>453</v>
      </c>
      <c r="B221" s="2" t="s">
        <v>454</v>
      </c>
      <c r="C221" s="2" t="s">
        <v>455</v>
      </c>
      <c r="D221" s="2" t="s">
        <v>2209</v>
      </c>
      <c r="E221" s="2" t="s">
        <v>2627</v>
      </c>
      <c r="F221" s="6" t="s">
        <v>3070</v>
      </c>
      <c r="G221" s="2" t="s">
        <v>53</v>
      </c>
      <c r="H221" s="2" t="s">
        <v>53</v>
      </c>
      <c r="I221" s="2" t="s">
        <v>3099</v>
      </c>
      <c r="J221" s="2" t="s">
        <v>1783</v>
      </c>
      <c r="K221" s="2" t="s">
        <v>2206</v>
      </c>
      <c r="L221" s="2" t="s">
        <v>41</v>
      </c>
      <c r="M221" s="7" t="s">
        <v>69</v>
      </c>
      <c r="N221" s="2" t="s">
        <v>3245</v>
      </c>
      <c r="O221" s="3" t="s">
        <v>3220</v>
      </c>
      <c r="P221" s="2" t="s">
        <v>3170</v>
      </c>
      <c r="Q221" s="2" t="s">
        <v>3177</v>
      </c>
      <c r="R221" s="2" t="s">
        <v>3155</v>
      </c>
      <c r="S221" s="2" t="s">
        <v>2327</v>
      </c>
      <c r="T221" s="2" t="s">
        <v>2360</v>
      </c>
      <c r="U221" s="2" t="s">
        <v>49</v>
      </c>
      <c r="V221" s="2" t="s">
        <v>2387</v>
      </c>
      <c r="W221" s="2" t="s">
        <v>49</v>
      </c>
      <c r="Y221" t="str">
        <f>PROPER(Table1[[#This Row],[Industry]])</f>
        <v>Пожарникари И Спасители, Охрана И Сигурност / Охрана, Тактически, Трекинг</v>
      </c>
      <c r="Z221" t="str">
        <f>PROPER(Table1[[#This Row],[Insole]])</f>
        <v>Текстил,Сменяема Стелка</v>
      </c>
    </row>
    <row r="222" spans="1:26" ht="12.75" customHeight="1" x14ac:dyDescent="0.2">
      <c r="A222" s="2" t="s">
        <v>450</v>
      </c>
      <c r="B222" s="2" t="s">
        <v>451</v>
      </c>
      <c r="C222" s="2" t="s">
        <v>452</v>
      </c>
      <c r="D222" s="2" t="s">
        <v>1846</v>
      </c>
      <c r="E222" s="2" t="s">
        <v>2626</v>
      </c>
      <c r="F222" s="6" t="s">
        <v>3068</v>
      </c>
      <c r="G222" s="2" t="s">
        <v>53</v>
      </c>
      <c r="H222" s="2" t="s">
        <v>53</v>
      </c>
      <c r="I222" s="2" t="s">
        <v>3099</v>
      </c>
      <c r="J222" s="2" t="s">
        <v>1783</v>
      </c>
      <c r="K222" s="2" t="s">
        <v>1787</v>
      </c>
      <c r="L222" s="2" t="s">
        <v>41</v>
      </c>
      <c r="M222" s="7" t="s">
        <v>69</v>
      </c>
      <c r="N222" s="2" t="s">
        <v>3245</v>
      </c>
      <c r="O222" s="3" t="s">
        <v>3220</v>
      </c>
      <c r="P222" s="2" t="s">
        <v>3170</v>
      </c>
      <c r="Q222" s="2" t="s">
        <v>3177</v>
      </c>
      <c r="R222" s="2" t="s">
        <v>3155</v>
      </c>
      <c r="S222" s="2" t="s">
        <v>2327</v>
      </c>
      <c r="T222" s="2" t="s">
        <v>2360</v>
      </c>
      <c r="U222" s="2" t="s">
        <v>49</v>
      </c>
      <c r="V222" s="2" t="s">
        <v>2413</v>
      </c>
      <c r="W222" s="2" t="s">
        <v>49</v>
      </c>
      <c r="Y222" t="str">
        <f>PROPER(Table1[[#This Row],[Industry]])</f>
        <v>Пожарникари И Спасители, Охрана И Сигурност / Охрана, Тактически, Трекинг</v>
      </c>
      <c r="Z222" t="str">
        <f>PROPER(Table1[[#This Row],[Insole]])</f>
        <v>Текстил,Сменяема Стелка</v>
      </c>
    </row>
    <row r="223" spans="1:26" ht="12.75" customHeight="1" x14ac:dyDescent="0.2">
      <c r="A223" s="2" t="s">
        <v>446</v>
      </c>
      <c r="B223" s="2" t="s">
        <v>447</v>
      </c>
      <c r="C223" s="2" t="s">
        <v>448</v>
      </c>
      <c r="D223" s="2" t="s">
        <v>1845</v>
      </c>
      <c r="E223" s="2" t="s">
        <v>2625</v>
      </c>
      <c r="F223" s="2"/>
      <c r="G223" s="2" t="s">
        <v>53</v>
      </c>
      <c r="H223" s="2" t="s">
        <v>53</v>
      </c>
      <c r="I223" s="2" t="s">
        <v>3100</v>
      </c>
      <c r="J223" s="2" t="s">
        <v>1783</v>
      </c>
      <c r="K223" s="2" t="s">
        <v>1787</v>
      </c>
      <c r="L223" s="2" t="s">
        <v>41</v>
      </c>
      <c r="M223" s="7" t="s">
        <v>449</v>
      </c>
      <c r="N223" s="2" t="s">
        <v>3236</v>
      </c>
      <c r="O223" s="3" t="s">
        <v>2323</v>
      </c>
      <c r="P223" s="2" t="s">
        <v>3170</v>
      </c>
      <c r="Q223" s="2" t="s">
        <v>3168</v>
      </c>
      <c r="R223" s="2" t="s">
        <v>3162</v>
      </c>
      <c r="S223" s="2" t="s">
        <v>2328</v>
      </c>
      <c r="T223" s="2" t="s">
        <v>2355</v>
      </c>
      <c r="U223" s="2" t="s">
        <v>49</v>
      </c>
      <c r="V223" s="2" t="s">
        <v>2413</v>
      </c>
      <c r="W223" s="2" t="s">
        <v>49</v>
      </c>
      <c r="Y223" t="str">
        <f>PROPER(Table1[[#This Row],[Industry]])</f>
        <v>Охрана И Сигурност / Охрана, Тактически, Трекинг</v>
      </c>
      <c r="Z223" t="str">
        <f>PROPER(Table1[[#This Row],[Insole]])</f>
        <v>Текстил</v>
      </c>
    </row>
    <row r="224" spans="1:26" ht="12.75" customHeight="1" x14ac:dyDescent="0.2">
      <c r="A224" s="2" t="s">
        <v>62</v>
      </c>
      <c r="B224" s="2" t="s">
        <v>63</v>
      </c>
      <c r="C224" s="2" t="s">
        <v>64</v>
      </c>
      <c r="D224" s="2" t="s">
        <v>2205</v>
      </c>
      <c r="E224" s="2" t="s">
        <v>2523</v>
      </c>
      <c r="F224" s="6" t="s">
        <v>3068</v>
      </c>
      <c r="G224" s="2" t="s">
        <v>53</v>
      </c>
      <c r="H224" s="2" t="s">
        <v>53</v>
      </c>
      <c r="I224" s="2" t="s">
        <v>3099</v>
      </c>
      <c r="J224" s="2" t="s">
        <v>1783</v>
      </c>
      <c r="K224" s="2" t="s">
        <v>2206</v>
      </c>
      <c r="L224" s="2" t="s">
        <v>3154</v>
      </c>
      <c r="M224" s="7" t="s">
        <v>3195</v>
      </c>
      <c r="N224" s="2" t="s">
        <v>3243</v>
      </c>
      <c r="O224" s="3" t="s">
        <v>3220</v>
      </c>
      <c r="P224" s="2" t="s">
        <v>3170</v>
      </c>
      <c r="Q224" s="2" t="s">
        <v>3168</v>
      </c>
      <c r="R224" s="2" t="s">
        <v>3155</v>
      </c>
      <c r="S224" s="2" t="s">
        <v>2327</v>
      </c>
      <c r="T224" s="2" t="s">
        <v>2355</v>
      </c>
      <c r="U224" s="2" t="s">
        <v>49</v>
      </c>
      <c r="V224" s="2" t="s">
        <v>2373</v>
      </c>
      <c r="W224" s="2" t="s">
        <v>49</v>
      </c>
      <c r="Y224" t="str">
        <f>PROPER(Table1[[#This Row],[Industry]])</f>
        <v>Пожарникари И Спасители, Охрана И Сигурност / Охрана, Тактически, Трекинг</v>
      </c>
      <c r="Z224" t="str">
        <f>PROPER(Table1[[#This Row],[Insole]])</f>
        <v>Текстил,Сменяема Стелка</v>
      </c>
    </row>
    <row r="225" spans="1:26" ht="12.75" customHeight="1" x14ac:dyDescent="0.2">
      <c r="A225" s="2" t="s">
        <v>402</v>
      </c>
      <c r="B225" s="2" t="s">
        <v>403</v>
      </c>
      <c r="C225" s="2" t="s">
        <v>404</v>
      </c>
      <c r="D225" s="2" t="s">
        <v>1839</v>
      </c>
      <c r="E225" s="2" t="s">
        <v>2615</v>
      </c>
      <c r="F225" s="6" t="s">
        <v>3062</v>
      </c>
      <c r="G225" s="2" t="s">
        <v>53</v>
      </c>
      <c r="H225" s="2" t="s">
        <v>53</v>
      </c>
      <c r="I225" s="2" t="s">
        <v>3099</v>
      </c>
      <c r="J225" s="2" t="s">
        <v>1783</v>
      </c>
      <c r="K225" s="2" t="s">
        <v>1787</v>
      </c>
      <c r="L225" s="2" t="s">
        <v>3154</v>
      </c>
      <c r="M225" s="7" t="s">
        <v>3195</v>
      </c>
      <c r="N225" s="2" t="s">
        <v>3243</v>
      </c>
      <c r="O225" s="3" t="s">
        <v>3220</v>
      </c>
      <c r="P225" s="2" t="s">
        <v>3171</v>
      </c>
      <c r="Q225" s="2" t="s">
        <v>3168</v>
      </c>
      <c r="R225" s="2" t="s">
        <v>3155</v>
      </c>
      <c r="S225" s="2" t="s">
        <v>2327</v>
      </c>
      <c r="T225" s="2" t="s">
        <v>2355</v>
      </c>
      <c r="U225" s="2" t="s">
        <v>49</v>
      </c>
      <c r="V225" s="2" t="s">
        <v>2413</v>
      </c>
      <c r="W225" s="2" t="s">
        <v>49</v>
      </c>
      <c r="Y225" t="str">
        <f>PROPER(Table1[[#This Row],[Industry]])</f>
        <v>Пожарникари И Спасители, Охрана И Сигурност / Охрана, Тактически, Трекинг</v>
      </c>
      <c r="Z225" t="str">
        <f>PROPER(Table1[[#This Row],[Insole]])</f>
        <v>Текстил,Сменяема Стелка</v>
      </c>
    </row>
    <row r="226" spans="1:26" ht="12.75" customHeight="1" x14ac:dyDescent="0.2">
      <c r="A226" s="2" t="s">
        <v>55</v>
      </c>
      <c r="B226" s="2" t="s">
        <v>56</v>
      </c>
      <c r="C226" s="2" t="s">
        <v>57</v>
      </c>
      <c r="D226" s="2" t="s">
        <v>1790</v>
      </c>
      <c r="E226" s="2" t="s">
        <v>2521</v>
      </c>
      <c r="F226" s="2"/>
      <c r="G226" s="2" t="s">
        <v>53</v>
      </c>
      <c r="H226" s="2" t="s">
        <v>53</v>
      </c>
      <c r="I226" s="2" t="s">
        <v>3100</v>
      </c>
      <c r="J226" s="2" t="s">
        <v>1783</v>
      </c>
      <c r="K226" s="2" t="s">
        <v>1787</v>
      </c>
      <c r="L226" s="2" t="s">
        <v>3193</v>
      </c>
      <c r="M226" s="7" t="s">
        <v>3193</v>
      </c>
      <c r="N226" s="2" t="s">
        <v>3242</v>
      </c>
      <c r="O226" s="3" t="s">
        <v>3220</v>
      </c>
      <c r="P226" s="2" t="s">
        <v>3170</v>
      </c>
      <c r="Q226" s="2" t="s">
        <v>3168</v>
      </c>
      <c r="R226" s="2" t="s">
        <v>3155</v>
      </c>
      <c r="S226" s="2" t="s">
        <v>2334</v>
      </c>
      <c r="T226" s="2" t="s">
        <v>2359</v>
      </c>
      <c r="U226" s="2" t="s">
        <v>58</v>
      </c>
      <c r="V226" s="2" t="s">
        <v>2371</v>
      </c>
      <c r="W226" s="2" t="s">
        <v>58</v>
      </c>
      <c r="Y226" t="str">
        <f>PROPER(Table1[[#This Row],[Industry]])</f>
        <v>Охрана И Сигурност / Охрана, Тактически, Трекинг</v>
      </c>
      <c r="Z226" t="str">
        <f>PROPER(Table1[[#This Row],[Insole]])</f>
        <v>Текстил,Сменяема Стелка</v>
      </c>
    </row>
    <row r="227" spans="1:26" ht="12.75" customHeight="1" x14ac:dyDescent="0.2">
      <c r="A227" s="2" t="s">
        <v>59</v>
      </c>
      <c r="B227" s="2" t="s">
        <v>60</v>
      </c>
      <c r="C227" s="2" t="s">
        <v>61</v>
      </c>
      <c r="D227" s="2" t="s">
        <v>1791</v>
      </c>
      <c r="E227" s="2" t="s">
        <v>2522</v>
      </c>
      <c r="F227" s="2"/>
      <c r="G227" s="2" t="s">
        <v>53</v>
      </c>
      <c r="H227" s="2" t="s">
        <v>53</v>
      </c>
      <c r="I227" s="2" t="s">
        <v>3100</v>
      </c>
      <c r="J227" s="2" t="s">
        <v>1783</v>
      </c>
      <c r="K227" s="2" t="s">
        <v>1787</v>
      </c>
      <c r="L227" s="2" t="s">
        <v>3193</v>
      </c>
      <c r="M227" s="7" t="s">
        <v>3193</v>
      </c>
      <c r="N227" s="2" t="s">
        <v>3188</v>
      </c>
      <c r="O227" s="2"/>
      <c r="P227" s="2" t="s">
        <v>3170</v>
      </c>
      <c r="Q227" s="2" t="s">
        <v>3168</v>
      </c>
      <c r="R227" s="2" t="s">
        <v>3155</v>
      </c>
      <c r="S227" s="2" t="s">
        <v>2333</v>
      </c>
      <c r="T227" s="2" t="s">
        <v>2359</v>
      </c>
      <c r="U227" s="2" t="s">
        <v>49</v>
      </c>
      <c r="V227" s="2" t="s">
        <v>2371</v>
      </c>
      <c r="W227" s="2"/>
      <c r="Y227" t="str">
        <f>PROPER(Table1[[#This Row],[Industry]])</f>
        <v>Охрана И Сигурност / Охрана, Тактически, Трекинг</v>
      </c>
      <c r="Z227" t="str">
        <f>PROPER(Table1[[#This Row],[Insole]])</f>
        <v>Текстил,Сменяема Стелка</v>
      </c>
    </row>
    <row r="228" spans="1:26" ht="12.75" customHeight="1" x14ac:dyDescent="0.2">
      <c r="A228" s="2" t="s">
        <v>50</v>
      </c>
      <c r="B228" s="2" t="s">
        <v>51</v>
      </c>
      <c r="C228" s="2" t="s">
        <v>52</v>
      </c>
      <c r="D228" s="2" t="s">
        <v>1789</v>
      </c>
      <c r="E228" s="2" t="s">
        <v>2520</v>
      </c>
      <c r="F228" s="2"/>
      <c r="G228" s="2" t="s">
        <v>53</v>
      </c>
      <c r="H228" s="2" t="s">
        <v>53</v>
      </c>
      <c r="I228" s="2" t="s">
        <v>3100</v>
      </c>
      <c r="J228" s="2" t="s">
        <v>1783</v>
      </c>
      <c r="K228" s="2" t="s">
        <v>1787</v>
      </c>
      <c r="L228" s="2" t="s">
        <v>3193</v>
      </c>
      <c r="M228" s="7" t="s">
        <v>3193</v>
      </c>
      <c r="N228" s="2" t="s">
        <v>3236</v>
      </c>
      <c r="O228" s="2"/>
      <c r="P228" s="2" t="s">
        <v>3170</v>
      </c>
      <c r="Q228" s="2" t="s">
        <v>3168</v>
      </c>
      <c r="R228" s="2" t="s">
        <v>3155</v>
      </c>
      <c r="S228" s="2" t="s">
        <v>2333</v>
      </c>
      <c r="T228" s="2" t="s">
        <v>2355</v>
      </c>
      <c r="U228" s="2" t="s">
        <v>54</v>
      </c>
      <c r="V228" s="2" t="s">
        <v>2371</v>
      </c>
      <c r="W228" s="2"/>
      <c r="Y228" t="str">
        <f>PROPER(Table1[[#This Row],[Industry]])</f>
        <v>Охрана И Сигурност / Охрана, Тактически, Трекинг</v>
      </c>
      <c r="Z228" t="str">
        <f>PROPER(Table1[[#This Row],[Insole]])</f>
        <v>Текстил,Сменяема Стелка</v>
      </c>
    </row>
    <row r="229" spans="1:26" ht="12.75" customHeight="1" x14ac:dyDescent="0.2">
      <c r="A229" s="2" t="s">
        <v>359</v>
      </c>
      <c r="B229" s="2" t="s">
        <v>360</v>
      </c>
      <c r="C229" s="2" t="s">
        <v>361</v>
      </c>
      <c r="D229" s="2" t="s">
        <v>2112</v>
      </c>
      <c r="E229" s="2" t="s">
        <v>2602</v>
      </c>
      <c r="F229" s="6" t="s">
        <v>3053</v>
      </c>
      <c r="G229" s="2" t="s">
        <v>81</v>
      </c>
      <c r="H229" s="2" t="s">
        <v>53</v>
      </c>
      <c r="I229" s="2" t="s">
        <v>3100</v>
      </c>
      <c r="J229" s="2" t="s">
        <v>1783</v>
      </c>
      <c r="K229" s="2" t="s">
        <v>2104</v>
      </c>
      <c r="L229" s="2" t="s">
        <v>3193</v>
      </c>
      <c r="M229" s="7" t="s">
        <v>3193</v>
      </c>
      <c r="N229" s="2" t="s">
        <v>3328</v>
      </c>
      <c r="O229" s="3" t="s">
        <v>3329</v>
      </c>
      <c r="P229" s="2" t="s">
        <v>3174</v>
      </c>
      <c r="Q229" s="2" t="s">
        <v>3168</v>
      </c>
      <c r="R229" s="2" t="s">
        <v>3155</v>
      </c>
      <c r="S229" s="2" t="s">
        <v>2327</v>
      </c>
      <c r="T229" s="2" t="s">
        <v>2355</v>
      </c>
      <c r="U229" s="2" t="s">
        <v>49</v>
      </c>
      <c r="V229" s="2" t="s">
        <v>2405</v>
      </c>
      <c r="W229" s="2" t="s">
        <v>49</v>
      </c>
      <c r="Y229" t="str">
        <f>PROPER(Table1[[#This Row],[Industry]])</f>
        <v>Охрана И Сигурност / Охрана, Тактически, Трекинг</v>
      </c>
      <c r="Z229" t="str">
        <f>PROPER(Table1[[#This Row],[Insole]])</f>
        <v>Текстил,Сменяема Стелка</v>
      </c>
    </row>
    <row r="230" spans="1:26" ht="12.75" customHeight="1" x14ac:dyDescent="0.2">
      <c r="A230" s="2" t="s">
        <v>381</v>
      </c>
      <c r="B230" s="2" t="s">
        <v>382</v>
      </c>
      <c r="C230" s="2" t="s">
        <v>383</v>
      </c>
      <c r="D230" s="2" t="s">
        <v>2219</v>
      </c>
      <c r="E230" s="2" t="s">
        <v>2609</v>
      </c>
      <c r="F230" s="6" t="s">
        <v>3070</v>
      </c>
      <c r="G230" s="2" t="s">
        <v>81</v>
      </c>
      <c r="H230" s="2" t="s">
        <v>53</v>
      </c>
      <c r="I230" s="2" t="s">
        <v>3100</v>
      </c>
      <c r="J230" s="2" t="s">
        <v>1783</v>
      </c>
      <c r="K230" s="2" t="s">
        <v>2213</v>
      </c>
      <c r="L230" s="2" t="s">
        <v>3193</v>
      </c>
      <c r="M230" s="7" t="s">
        <v>3193</v>
      </c>
      <c r="N230" s="2" t="s">
        <v>3328</v>
      </c>
      <c r="O230" s="3" t="s">
        <v>3329</v>
      </c>
      <c r="P230" s="2" t="s">
        <v>3174</v>
      </c>
      <c r="Q230" s="2" t="s">
        <v>3168</v>
      </c>
      <c r="R230" s="2" t="s">
        <v>3155</v>
      </c>
      <c r="S230" s="2" t="s">
        <v>2327</v>
      </c>
      <c r="T230" s="2" t="s">
        <v>2355</v>
      </c>
      <c r="U230" s="2" t="s">
        <v>49</v>
      </c>
      <c r="V230" s="2" t="s">
        <v>2405</v>
      </c>
      <c r="W230" s="2" t="s">
        <v>49</v>
      </c>
      <c r="Y230" t="str">
        <f>PROPER(Table1[[#This Row],[Industry]])</f>
        <v>Охрана И Сигурност / Охрана, Тактически, Трекинг</v>
      </c>
      <c r="Z230" t="str">
        <f>PROPER(Table1[[#This Row],[Insole]])</f>
        <v>Текстил,Сменяема Стелка</v>
      </c>
    </row>
    <row r="231" spans="1:26" ht="12.75" customHeight="1" x14ac:dyDescent="0.2">
      <c r="A231" s="2" t="s">
        <v>306</v>
      </c>
      <c r="B231" s="2" t="s">
        <v>307</v>
      </c>
      <c r="C231" s="2" t="s">
        <v>308</v>
      </c>
      <c r="D231" s="2" t="s">
        <v>1830</v>
      </c>
      <c r="E231" s="2" t="s">
        <v>2586</v>
      </c>
      <c r="F231" s="6" t="s">
        <v>3070</v>
      </c>
      <c r="G231" s="2" t="s">
        <v>81</v>
      </c>
      <c r="H231" s="2" t="s">
        <v>53</v>
      </c>
      <c r="I231" s="2" t="s">
        <v>3100</v>
      </c>
      <c r="J231" s="2" t="s">
        <v>1783</v>
      </c>
      <c r="K231" s="2" t="s">
        <v>1787</v>
      </c>
      <c r="L231" s="2" t="s">
        <v>3193</v>
      </c>
      <c r="M231" s="7" t="s">
        <v>3193</v>
      </c>
      <c r="N231" s="2" t="s">
        <v>3328</v>
      </c>
      <c r="O231" s="3" t="s">
        <v>3329</v>
      </c>
      <c r="P231" s="2" t="s">
        <v>3174</v>
      </c>
      <c r="Q231" s="2" t="s">
        <v>3168</v>
      </c>
      <c r="R231" s="2" t="s">
        <v>3155</v>
      </c>
      <c r="S231" s="2" t="s">
        <v>2327</v>
      </c>
      <c r="T231" s="2" t="s">
        <v>2355</v>
      </c>
      <c r="U231" s="2" t="s">
        <v>49</v>
      </c>
      <c r="V231" s="2" t="s">
        <v>2405</v>
      </c>
      <c r="W231" s="2" t="s">
        <v>49</v>
      </c>
      <c r="Y231" t="str">
        <f>PROPER(Table1[[#This Row],[Industry]])</f>
        <v>Охрана И Сигурност / Охрана, Тактически, Трекинг</v>
      </c>
      <c r="Z231" t="str">
        <f>PROPER(Table1[[#This Row],[Insole]])</f>
        <v>Текстил,Сменяема Стелка</v>
      </c>
    </row>
    <row r="232" spans="1:26" ht="12.75" customHeight="1" x14ac:dyDescent="0.2">
      <c r="A232" s="2" t="s">
        <v>78</v>
      </c>
      <c r="B232" s="2" t="s">
        <v>79</v>
      </c>
      <c r="C232" s="2" t="s">
        <v>80</v>
      </c>
      <c r="D232" s="2" t="s">
        <v>2270</v>
      </c>
      <c r="E232" s="2" t="s">
        <v>2527</v>
      </c>
      <c r="F232" s="2"/>
      <c r="G232" s="2" t="s">
        <v>81</v>
      </c>
      <c r="H232" s="2" t="s">
        <v>53</v>
      </c>
      <c r="I232" s="2" t="s">
        <v>3098</v>
      </c>
      <c r="J232" s="2" t="s">
        <v>1783</v>
      </c>
      <c r="K232" s="2" t="s">
        <v>2309</v>
      </c>
      <c r="L232" s="2" t="s">
        <v>3193</v>
      </c>
      <c r="M232" s="7" t="s">
        <v>3193</v>
      </c>
      <c r="N232" s="2" t="s">
        <v>3331</v>
      </c>
      <c r="O232" s="3" t="s">
        <v>2323</v>
      </c>
      <c r="P232" s="2" t="s">
        <v>3174</v>
      </c>
      <c r="Q232" s="2" t="s">
        <v>3124</v>
      </c>
      <c r="R232" s="2" t="s">
        <v>3156</v>
      </c>
      <c r="S232" s="2" t="s">
        <v>2327</v>
      </c>
      <c r="T232" s="2" t="s">
        <v>2355</v>
      </c>
      <c r="U232" s="2" t="s">
        <v>49</v>
      </c>
      <c r="V232" s="2" t="s">
        <v>2377</v>
      </c>
      <c r="W232" s="2" t="s">
        <v>49</v>
      </c>
      <c r="Y232" t="str">
        <f>PROPER(Table1[[#This Row],[Industry]])</f>
        <v>Тактически, Трекинг</v>
      </c>
      <c r="Z232" t="str">
        <f>PROPER(Table1[[#This Row],[Insole]])</f>
        <v>Кожа/Текстил,Сменяема Стелка</v>
      </c>
    </row>
    <row r="233" spans="1:26" ht="12.75" customHeight="1" x14ac:dyDescent="0.2">
      <c r="A233" s="2" t="s">
        <v>342</v>
      </c>
      <c r="B233" s="2" t="s">
        <v>343</v>
      </c>
      <c r="C233" s="4" t="s">
        <v>2512</v>
      </c>
      <c r="D233" s="2" t="s">
        <v>2284</v>
      </c>
      <c r="E233" s="2" t="s">
        <v>2596</v>
      </c>
      <c r="F233" s="2"/>
      <c r="G233" s="2" t="s">
        <v>2283</v>
      </c>
      <c r="H233" s="2" t="s">
        <v>53</v>
      </c>
      <c r="I233" s="2" t="s">
        <v>3098</v>
      </c>
      <c r="J233" s="2" t="s">
        <v>1783</v>
      </c>
      <c r="K233" s="2" t="s">
        <v>2104</v>
      </c>
      <c r="L233" s="2" t="s">
        <v>3193</v>
      </c>
      <c r="M233" s="7" t="s">
        <v>3193</v>
      </c>
      <c r="N233" s="2" t="s">
        <v>3328</v>
      </c>
      <c r="O233" s="2"/>
      <c r="P233" s="2" t="s">
        <v>3174</v>
      </c>
      <c r="Q233" s="2" t="s">
        <v>3162</v>
      </c>
      <c r="R233" s="2" t="s">
        <v>3162</v>
      </c>
      <c r="S233" s="2" t="s">
        <v>2328</v>
      </c>
      <c r="T233" s="2" t="s">
        <v>2355</v>
      </c>
      <c r="U233" s="2" t="s">
        <v>49</v>
      </c>
      <c r="V233" s="2" t="s">
        <v>2404</v>
      </c>
      <c r="W233" s="2" t="s">
        <v>49</v>
      </c>
      <c r="Y233" t="str">
        <f>PROPER(Table1[[#This Row],[Industry]])</f>
        <v>Тактически, Трекинг</v>
      </c>
      <c r="Z233" t="str">
        <f>PROPER(Table1[[#This Row],[Insole]])</f>
        <v>Текстил</v>
      </c>
    </row>
    <row r="234" spans="1:26" ht="12.75" customHeight="1" x14ac:dyDescent="0.2">
      <c r="A234" s="2" t="s">
        <v>285</v>
      </c>
      <c r="B234" s="2" t="s">
        <v>286</v>
      </c>
      <c r="C234" s="4" t="s">
        <v>2513</v>
      </c>
      <c r="D234" s="2" t="s">
        <v>2282</v>
      </c>
      <c r="E234" s="2" t="s">
        <v>2579</v>
      </c>
      <c r="F234" s="2"/>
      <c r="G234" s="2" t="s">
        <v>2283</v>
      </c>
      <c r="H234" s="2" t="s">
        <v>53</v>
      </c>
      <c r="I234" s="2" t="s">
        <v>3098</v>
      </c>
      <c r="J234" s="2" t="s">
        <v>1783</v>
      </c>
      <c r="K234" s="2" t="s">
        <v>1787</v>
      </c>
      <c r="L234" s="2" t="s">
        <v>3193</v>
      </c>
      <c r="M234" s="7" t="s">
        <v>3193</v>
      </c>
      <c r="N234" s="2" t="s">
        <v>3328</v>
      </c>
      <c r="O234" s="2"/>
      <c r="P234" s="2" t="s">
        <v>3174</v>
      </c>
      <c r="Q234" s="2" t="s">
        <v>3162</v>
      </c>
      <c r="R234" s="2" t="s">
        <v>3162</v>
      </c>
      <c r="S234" s="2" t="s">
        <v>2327</v>
      </c>
      <c r="T234" s="2" t="s">
        <v>2355</v>
      </c>
      <c r="U234" s="2" t="s">
        <v>49</v>
      </c>
      <c r="V234" s="2" t="s">
        <v>2404</v>
      </c>
      <c r="W234" s="2" t="s">
        <v>49</v>
      </c>
      <c r="Y234" t="str">
        <f>PROPER(Table1[[#This Row],[Industry]])</f>
        <v>Тактически, Трекинг</v>
      </c>
      <c r="Z234" t="str">
        <f>PROPER(Table1[[#This Row],[Insole]])</f>
        <v>Текстил</v>
      </c>
    </row>
    <row r="235" spans="1:26" ht="12.75" customHeight="1" x14ac:dyDescent="0.2">
      <c r="A235" s="2" t="s">
        <v>82</v>
      </c>
      <c r="B235" s="2" t="s">
        <v>83</v>
      </c>
      <c r="C235" s="2" t="s">
        <v>84</v>
      </c>
      <c r="D235" s="2" t="s">
        <v>1795</v>
      </c>
      <c r="E235" s="2" t="s">
        <v>2528</v>
      </c>
      <c r="F235" s="2"/>
      <c r="G235" s="2" t="s">
        <v>85</v>
      </c>
      <c r="H235" s="2" t="s">
        <v>53</v>
      </c>
      <c r="I235" s="2" t="s">
        <v>3142</v>
      </c>
      <c r="J235" s="2" t="s">
        <v>1783</v>
      </c>
      <c r="K235" s="2" t="s">
        <v>1787</v>
      </c>
      <c r="L235" s="2" t="s">
        <v>3193</v>
      </c>
      <c r="M235" s="7" t="s">
        <v>86</v>
      </c>
      <c r="N235" s="2" t="s">
        <v>3200</v>
      </c>
      <c r="O235" s="2"/>
      <c r="P235" s="2" t="s">
        <v>3170</v>
      </c>
      <c r="Q235" s="2" t="s">
        <v>3174</v>
      </c>
      <c r="R235" s="2" t="s">
        <v>3162</v>
      </c>
      <c r="S235" s="2" t="s">
        <v>2313</v>
      </c>
      <c r="T235" s="2" t="s">
        <v>2356</v>
      </c>
      <c r="U235" s="2" t="s">
        <v>87</v>
      </c>
      <c r="V235" s="2" t="s">
        <v>2378</v>
      </c>
      <c r="W235" s="2"/>
      <c r="Y235" t="str">
        <f>PROPER(Table1[[#This Row],[Industry]])</f>
        <v>Тактически</v>
      </c>
      <c r="Z235" t="str">
        <f>PROPER(Table1[[#This Row],[Insole]])</f>
        <v>Текстил</v>
      </c>
    </row>
    <row r="236" spans="1:26" ht="12.75" customHeight="1" x14ac:dyDescent="0.2">
      <c r="A236" s="2" t="s">
        <v>182</v>
      </c>
      <c r="B236" s="2" t="s">
        <v>183</v>
      </c>
      <c r="C236" s="2" t="s">
        <v>184</v>
      </c>
      <c r="D236" s="2" t="s">
        <v>2276</v>
      </c>
      <c r="E236" s="2" t="s">
        <v>2551</v>
      </c>
      <c r="F236" s="6" t="s">
        <v>3069</v>
      </c>
      <c r="G236" s="2" t="s">
        <v>185</v>
      </c>
      <c r="H236" s="2" t="s">
        <v>35</v>
      </c>
      <c r="I236" s="2" t="s">
        <v>3143</v>
      </c>
      <c r="J236" s="2" t="s">
        <v>3190</v>
      </c>
      <c r="K236" s="2" t="s">
        <v>1787</v>
      </c>
      <c r="L236" s="2" t="s">
        <v>41</v>
      </c>
      <c r="M236" s="7" t="s">
        <v>3193</v>
      </c>
      <c r="N236" s="2" t="s">
        <v>3221</v>
      </c>
      <c r="O236" s="3" t="s">
        <v>3338</v>
      </c>
      <c r="P236" s="2" t="s">
        <v>3170</v>
      </c>
      <c r="Q236" s="2" t="s">
        <v>3168</v>
      </c>
      <c r="R236" s="2" t="s">
        <v>3155</v>
      </c>
      <c r="S236" s="2" t="s">
        <v>2327</v>
      </c>
      <c r="T236" s="2" t="s">
        <v>2355</v>
      </c>
      <c r="U236" s="2" t="s">
        <v>49</v>
      </c>
      <c r="V236" s="2" t="s">
        <v>2393</v>
      </c>
      <c r="W236" s="2" t="s">
        <v>49</v>
      </c>
      <c r="Y236" t="str">
        <f>PROPER(Table1[[#This Row],[Industry]])</f>
        <v>Лека Индустрия, Други, Охрана И Сигурност / Охрана, Транспорт / Склад И Логистика</v>
      </c>
      <c r="Z236" t="str">
        <f>PROPER(Table1[[#This Row],[Insole]])</f>
        <v>Текстил,Сменяема Стелка</v>
      </c>
    </row>
    <row r="237" spans="1:26" ht="12.75" customHeight="1" x14ac:dyDescent="0.2">
      <c r="A237" s="2" t="s">
        <v>186</v>
      </c>
      <c r="B237" s="2" t="s">
        <v>187</v>
      </c>
      <c r="C237" s="2" t="s">
        <v>188</v>
      </c>
      <c r="D237" s="2" t="s">
        <v>1807</v>
      </c>
      <c r="E237" s="2" t="s">
        <v>2552</v>
      </c>
      <c r="F237" s="6" t="s">
        <v>3069</v>
      </c>
      <c r="G237" s="2" t="s">
        <v>185</v>
      </c>
      <c r="H237" s="2" t="s">
        <v>35</v>
      </c>
      <c r="I237" s="2" t="s">
        <v>3143</v>
      </c>
      <c r="J237" s="2" t="s">
        <v>1783</v>
      </c>
      <c r="K237" s="2" t="s">
        <v>1787</v>
      </c>
      <c r="L237" s="2" t="s">
        <v>41</v>
      </c>
      <c r="M237" s="7" t="s">
        <v>3193</v>
      </c>
      <c r="N237" s="2" t="s">
        <v>3221</v>
      </c>
      <c r="O237" s="3" t="s">
        <v>3338</v>
      </c>
      <c r="P237" s="2" t="s">
        <v>3170</v>
      </c>
      <c r="Q237" s="2" t="s">
        <v>3168</v>
      </c>
      <c r="R237" s="2" t="s">
        <v>3155</v>
      </c>
      <c r="S237" s="2" t="s">
        <v>2327</v>
      </c>
      <c r="T237" s="2" t="s">
        <v>2355</v>
      </c>
      <c r="U237" s="2" t="s">
        <v>49</v>
      </c>
      <c r="V237" s="2" t="s">
        <v>2370</v>
      </c>
      <c r="W237" s="2" t="s">
        <v>49</v>
      </c>
      <c r="Y237" t="str">
        <f>PROPER(Table1[[#This Row],[Industry]])</f>
        <v>Лека Индустрия, Други, Охрана И Сигурност / Охрана, Транспорт / Склад И Логистика</v>
      </c>
      <c r="Z237" t="str">
        <f>PROPER(Table1[[#This Row],[Insole]])</f>
        <v>Текстил,Сменяема Стелка</v>
      </c>
    </row>
    <row r="238" spans="1:26" ht="12.75" customHeight="1" x14ac:dyDescent="0.2">
      <c r="A238" s="2" t="s">
        <v>65</v>
      </c>
      <c r="B238" s="2" t="s">
        <v>66</v>
      </c>
      <c r="C238" s="2" t="s">
        <v>67</v>
      </c>
      <c r="D238" s="2" t="s">
        <v>1792</v>
      </c>
      <c r="E238" s="2" t="s">
        <v>2524</v>
      </c>
      <c r="F238" s="2"/>
      <c r="G238" s="2" t="s">
        <v>68</v>
      </c>
      <c r="H238" s="2" t="s">
        <v>53</v>
      </c>
      <c r="I238" s="2" t="s">
        <v>3147</v>
      </c>
      <c r="J238" s="2" t="s">
        <v>1783</v>
      </c>
      <c r="K238" s="2" t="s">
        <v>1787</v>
      </c>
      <c r="L238" s="2" t="s">
        <v>41</v>
      </c>
      <c r="M238" s="7" t="s">
        <v>69</v>
      </c>
      <c r="N238" s="2" t="s">
        <v>3236</v>
      </c>
      <c r="O238" s="3" t="s">
        <v>2323</v>
      </c>
      <c r="P238" s="2" t="s">
        <v>3170</v>
      </c>
      <c r="Q238" s="2" t="s">
        <v>3162</v>
      </c>
      <c r="R238" s="2" t="s">
        <v>3155</v>
      </c>
      <c r="S238" s="2" t="s">
        <v>2328</v>
      </c>
      <c r="T238" s="2" t="s">
        <v>2355</v>
      </c>
      <c r="U238" s="2" t="s">
        <v>49</v>
      </c>
      <c r="V238" s="2" t="s">
        <v>2374</v>
      </c>
      <c r="W238" s="2"/>
      <c r="Y238" t="str">
        <f>PROPER(Table1[[#This Row],[Industry]])</f>
        <v>Охрана И Сигурност / Охрана, Тактически</v>
      </c>
      <c r="Z238" t="str">
        <f>PROPER(Table1[[#This Row],[Insole]])</f>
        <v>Текстил,Сменяема Стелка</v>
      </c>
    </row>
    <row r="239" spans="1:26" ht="12.75" customHeight="1" x14ac:dyDescent="0.2">
      <c r="A239" s="2" t="s">
        <v>172</v>
      </c>
      <c r="B239" s="2" t="s">
        <v>173</v>
      </c>
      <c r="C239" s="2" t="s">
        <v>174</v>
      </c>
      <c r="D239" s="2" t="s">
        <v>1806</v>
      </c>
      <c r="E239" s="2" t="s">
        <v>2549</v>
      </c>
      <c r="F239" s="6" t="s">
        <v>3067</v>
      </c>
      <c r="G239" s="2" t="s">
        <v>175</v>
      </c>
      <c r="H239" s="2" t="s">
        <v>53</v>
      </c>
      <c r="I239" s="2" t="s">
        <v>3142</v>
      </c>
      <c r="J239" s="2" t="s">
        <v>1783</v>
      </c>
      <c r="K239" s="2" t="s">
        <v>1787</v>
      </c>
      <c r="L239" s="2" t="s">
        <v>41</v>
      </c>
      <c r="M239" s="7" t="s">
        <v>176</v>
      </c>
      <c r="N239" s="2" t="s">
        <v>3200</v>
      </c>
      <c r="O239" s="2"/>
      <c r="P239" s="2" t="s">
        <v>3170</v>
      </c>
      <c r="Q239" s="2" t="s">
        <v>3177</v>
      </c>
      <c r="R239" s="2" t="s">
        <v>3155</v>
      </c>
      <c r="S239" s="2" t="s">
        <v>2331</v>
      </c>
      <c r="T239" s="2" t="s">
        <v>2355</v>
      </c>
      <c r="U239" s="2" t="s">
        <v>36</v>
      </c>
      <c r="V239" s="2" t="s">
        <v>2391</v>
      </c>
      <c r="W239" s="2"/>
      <c r="Y239" t="str">
        <f>PROPER(Table1[[#This Row],[Industry]])</f>
        <v>Тактически</v>
      </c>
      <c r="Z239" t="str">
        <f>PROPER(Table1[[#This Row],[Insole]])</f>
        <v>Текстил,Сменяема Стелка</v>
      </c>
    </row>
    <row r="240" spans="1:26" ht="12.75" customHeight="1" x14ac:dyDescent="0.2">
      <c r="A240" s="2" t="s">
        <v>514</v>
      </c>
      <c r="B240" s="2" t="s">
        <v>515</v>
      </c>
      <c r="C240" s="2" t="s">
        <v>516</v>
      </c>
      <c r="D240" s="2" t="s">
        <v>2286</v>
      </c>
      <c r="E240" s="2" t="s">
        <v>2644</v>
      </c>
      <c r="F240" s="2"/>
      <c r="G240" s="2" t="s">
        <v>508</v>
      </c>
      <c r="H240" s="2" t="s">
        <v>35</v>
      </c>
      <c r="I240" s="2" t="s">
        <v>3139</v>
      </c>
      <c r="J240" s="2" t="s">
        <v>3190</v>
      </c>
      <c r="K240" s="2" t="s">
        <v>1787</v>
      </c>
      <c r="L240" s="2" t="s">
        <v>95</v>
      </c>
      <c r="M240" s="7" t="s">
        <v>509</v>
      </c>
      <c r="N240" s="2" t="s">
        <v>3239</v>
      </c>
      <c r="O240" s="3" t="s">
        <v>2323</v>
      </c>
      <c r="P240" s="2" t="s">
        <v>3170</v>
      </c>
      <c r="Q240" s="2" t="s">
        <v>3168</v>
      </c>
      <c r="R240" s="2" t="s">
        <v>3163</v>
      </c>
      <c r="S240" s="2" t="s">
        <v>2326</v>
      </c>
      <c r="T240" s="2" t="s">
        <v>2355</v>
      </c>
      <c r="U240" s="2" t="s">
        <v>101</v>
      </c>
      <c r="V240" s="2" t="s">
        <v>2381</v>
      </c>
      <c r="W240" s="2" t="s">
        <v>101</v>
      </c>
      <c r="Y240" t="str">
        <f>PROPER(Table1[[#This Row],[Industry]])</f>
        <v>Строителство / Довършителни Работи, Лека Индустрия, Транспорт / Склад И Логистика</v>
      </c>
      <c r="Z240" t="str">
        <f>PROPER(Table1[[#This Row],[Insole]])</f>
        <v>Текстил, Антибактериална Стелка,Сменяема Стелка</v>
      </c>
    </row>
    <row r="241" spans="1:26" ht="12.75" customHeight="1" x14ac:dyDescent="0.2">
      <c r="A241" s="2" t="s">
        <v>517</v>
      </c>
      <c r="B241" s="2" t="s">
        <v>518</v>
      </c>
      <c r="C241" s="2" t="s">
        <v>519</v>
      </c>
      <c r="D241" s="2" t="s">
        <v>2308</v>
      </c>
      <c r="E241" s="2" t="s">
        <v>2645</v>
      </c>
      <c r="F241" s="2"/>
      <c r="G241" s="2" t="s">
        <v>508</v>
      </c>
      <c r="H241" s="2" t="s">
        <v>35</v>
      </c>
      <c r="I241" s="2" t="s">
        <v>3139</v>
      </c>
      <c r="J241" s="2" t="s">
        <v>1783</v>
      </c>
      <c r="K241" s="2" t="s">
        <v>1787</v>
      </c>
      <c r="L241" s="2" t="s">
        <v>95</v>
      </c>
      <c r="M241" s="7" t="s">
        <v>509</v>
      </c>
      <c r="N241" s="2" t="s">
        <v>3240</v>
      </c>
      <c r="O241" s="3" t="s">
        <v>2323</v>
      </c>
      <c r="P241" s="2" t="s">
        <v>3170</v>
      </c>
      <c r="Q241" s="2" t="s">
        <v>3168</v>
      </c>
      <c r="R241" s="2" t="s">
        <v>3163</v>
      </c>
      <c r="S241" s="2" t="s">
        <v>2326</v>
      </c>
      <c r="T241" s="2" t="s">
        <v>2355</v>
      </c>
      <c r="U241" s="2" t="s">
        <v>101</v>
      </c>
      <c r="V241" s="2" t="s">
        <v>2384</v>
      </c>
      <c r="W241" s="2" t="s">
        <v>101</v>
      </c>
      <c r="Y241" t="str">
        <f>PROPER(Table1[[#This Row],[Industry]])</f>
        <v>Строителство / Довършителни Работи, Лека Индустрия, Транспорт / Склад И Логистика</v>
      </c>
      <c r="Z241" t="str">
        <f>PROPER(Table1[[#This Row],[Insole]])</f>
        <v>Текстил, Антибактериална Стелка,Сменяема Стелка</v>
      </c>
    </row>
    <row r="242" spans="1:26" ht="12.75" customHeight="1" x14ac:dyDescent="0.2">
      <c r="A242" s="2" t="s">
        <v>520</v>
      </c>
      <c r="B242" s="2" t="s">
        <v>521</v>
      </c>
      <c r="C242" s="2" t="s">
        <v>522</v>
      </c>
      <c r="D242" s="2" t="s">
        <v>2298</v>
      </c>
      <c r="E242" s="2" t="s">
        <v>2646</v>
      </c>
      <c r="F242" s="2"/>
      <c r="G242" s="2" t="s">
        <v>508</v>
      </c>
      <c r="H242" s="2" t="s">
        <v>35</v>
      </c>
      <c r="I242" s="2" t="s">
        <v>3139</v>
      </c>
      <c r="J242" s="2" t="s">
        <v>1783</v>
      </c>
      <c r="K242" s="2" t="s">
        <v>1787</v>
      </c>
      <c r="L242" s="2" t="s">
        <v>95</v>
      </c>
      <c r="M242" s="7" t="s">
        <v>509</v>
      </c>
      <c r="N242" s="2" t="s">
        <v>3240</v>
      </c>
      <c r="O242" s="3" t="s">
        <v>2323</v>
      </c>
      <c r="P242" s="2" t="s">
        <v>3170</v>
      </c>
      <c r="Q242" s="2" t="s">
        <v>3168</v>
      </c>
      <c r="R242" s="2" t="s">
        <v>3163</v>
      </c>
      <c r="S242" s="2" t="s">
        <v>2326</v>
      </c>
      <c r="T242" s="2" t="s">
        <v>2355</v>
      </c>
      <c r="U242" s="2" t="s">
        <v>101</v>
      </c>
      <c r="V242" s="2" t="s">
        <v>2424</v>
      </c>
      <c r="W242" s="2" t="s">
        <v>101</v>
      </c>
      <c r="Y242" t="str">
        <f>PROPER(Table1[[#This Row],[Industry]])</f>
        <v>Строителство / Довършителни Работи, Лека Индустрия, Транспорт / Склад И Логистика</v>
      </c>
      <c r="Z242" t="str">
        <f>PROPER(Table1[[#This Row],[Insole]])</f>
        <v>Текстил, Антибактериална Стелка,Сменяема Стелка</v>
      </c>
    </row>
    <row r="243" spans="1:26" ht="12.75" customHeight="1" x14ac:dyDescent="0.2">
      <c r="A243" s="2" t="s">
        <v>510</v>
      </c>
      <c r="B243" s="2" t="s">
        <v>511</v>
      </c>
      <c r="C243" s="2" t="s">
        <v>512</v>
      </c>
      <c r="D243" s="2" t="s">
        <v>1859</v>
      </c>
      <c r="E243" s="2" t="s">
        <v>2643</v>
      </c>
      <c r="F243" s="2"/>
      <c r="G243" s="2" t="s">
        <v>508</v>
      </c>
      <c r="H243" s="2" t="s">
        <v>35</v>
      </c>
      <c r="I243" s="2" t="s">
        <v>3128</v>
      </c>
      <c r="J243" s="2" t="s">
        <v>3192</v>
      </c>
      <c r="K243" s="2" t="s">
        <v>1787</v>
      </c>
      <c r="L243" s="2" t="s">
        <v>95</v>
      </c>
      <c r="M243" s="7" t="s">
        <v>513</v>
      </c>
      <c r="N243" s="2" t="s">
        <v>3267</v>
      </c>
      <c r="O243" s="3" t="s">
        <v>2323</v>
      </c>
      <c r="P243" s="2" t="s">
        <v>3174</v>
      </c>
      <c r="Q243" s="2" t="s">
        <v>3168</v>
      </c>
      <c r="R243" s="2" t="s">
        <v>3163</v>
      </c>
      <c r="S243" s="2" t="s">
        <v>2326</v>
      </c>
      <c r="T243" s="2" t="s">
        <v>2361</v>
      </c>
      <c r="U243" s="2" t="s">
        <v>101</v>
      </c>
      <c r="V243" s="2" t="s">
        <v>2383</v>
      </c>
      <c r="W243" s="2" t="s">
        <v>101</v>
      </c>
      <c r="Y243" t="str">
        <f>PROPER(Table1[[#This Row],[Industry]])</f>
        <v>Лека Индустрия, Транспорт / Склад И Логистика</v>
      </c>
      <c r="Z243" t="str">
        <f>PROPER(Table1[[#This Row],[Insole]])</f>
        <v>Текстил, Антибактериална Стелка,Сменяема Стелка</v>
      </c>
    </row>
    <row r="244" spans="1:26" ht="12.75" customHeight="1" x14ac:dyDescent="0.2">
      <c r="A244" s="2" t="s">
        <v>505</v>
      </c>
      <c r="B244" s="2" t="s">
        <v>506</v>
      </c>
      <c r="C244" s="2" t="s">
        <v>507</v>
      </c>
      <c r="D244" s="2" t="s">
        <v>1858</v>
      </c>
      <c r="E244" s="2" t="s">
        <v>2642</v>
      </c>
      <c r="F244" s="2"/>
      <c r="G244" s="2" t="s">
        <v>508</v>
      </c>
      <c r="H244" s="2" t="s">
        <v>35</v>
      </c>
      <c r="I244" s="2" t="s">
        <v>3128</v>
      </c>
      <c r="J244" s="2" t="s">
        <v>3192</v>
      </c>
      <c r="K244" s="2" t="s">
        <v>1787</v>
      </c>
      <c r="L244" s="2" t="s">
        <v>95</v>
      </c>
      <c r="M244" s="7" t="s">
        <v>509</v>
      </c>
      <c r="N244" s="2" t="s">
        <v>3267</v>
      </c>
      <c r="O244" s="3" t="s">
        <v>2323</v>
      </c>
      <c r="P244" s="2" t="s">
        <v>3170</v>
      </c>
      <c r="Q244" s="2" t="s">
        <v>3168</v>
      </c>
      <c r="R244" s="2" t="s">
        <v>3163</v>
      </c>
      <c r="S244" s="2" t="s">
        <v>2326</v>
      </c>
      <c r="T244" s="2" t="s">
        <v>2361</v>
      </c>
      <c r="U244" s="2" t="s">
        <v>101</v>
      </c>
      <c r="V244" s="2" t="s">
        <v>2381</v>
      </c>
      <c r="W244" s="2" t="s">
        <v>101</v>
      </c>
      <c r="Y244" t="str">
        <f>PROPER(Table1[[#This Row],[Industry]])</f>
        <v>Лека Индустрия, Транспорт / Склад И Логистика</v>
      </c>
      <c r="Z244" t="str">
        <f>PROPER(Table1[[#This Row],[Insole]])</f>
        <v>Текстил, Антибактериална Стелка,Сменяема Стелка</v>
      </c>
    </row>
    <row r="245" spans="1:26" ht="12.75" customHeight="1" x14ac:dyDescent="0.2">
      <c r="A245" s="2" t="s">
        <v>569</v>
      </c>
      <c r="B245" s="2" t="s">
        <v>570</v>
      </c>
      <c r="C245" s="2" t="s">
        <v>571</v>
      </c>
      <c r="D245" s="2" t="s">
        <v>1992</v>
      </c>
      <c r="E245" s="2" t="s">
        <v>2659</v>
      </c>
      <c r="F245" s="2"/>
      <c r="G245" s="2" t="s">
        <v>572</v>
      </c>
      <c r="H245" s="2" t="s">
        <v>536</v>
      </c>
      <c r="I245" s="2" t="s">
        <v>3124</v>
      </c>
      <c r="J245" s="2" t="s">
        <v>3190</v>
      </c>
      <c r="K245" s="2" t="s">
        <v>1984</v>
      </c>
      <c r="L245" s="2" t="s">
        <v>3154</v>
      </c>
      <c r="M245" s="7" t="s">
        <v>3195</v>
      </c>
      <c r="N245" s="2"/>
      <c r="O245" s="2"/>
      <c r="P245" s="2" t="s">
        <v>3154</v>
      </c>
      <c r="Q245" s="2" t="s">
        <v>3124</v>
      </c>
      <c r="R245" s="2" t="s">
        <v>3124</v>
      </c>
      <c r="S245" s="2"/>
      <c r="T245" s="2"/>
      <c r="U245" s="2" t="s">
        <v>91</v>
      </c>
      <c r="V245" s="2"/>
      <c r="W245" s="2"/>
      <c r="Y245" t="str">
        <f>PROPER(Table1[[#This Row],[Industry]])</f>
        <v/>
      </c>
      <c r="Z245" t="str">
        <f>PROPER(Table1[[#This Row],[Insole]])</f>
        <v/>
      </c>
    </row>
    <row r="246" spans="1:26" ht="12.75" customHeight="1" x14ac:dyDescent="0.2">
      <c r="A246" s="2" t="s">
        <v>750</v>
      </c>
      <c r="B246" s="2" t="s">
        <v>751</v>
      </c>
      <c r="C246" s="2" t="s">
        <v>752</v>
      </c>
      <c r="D246" s="2" t="s">
        <v>2210</v>
      </c>
      <c r="E246" s="2" t="s">
        <v>2712</v>
      </c>
      <c r="F246" s="2"/>
      <c r="G246" s="2" t="s">
        <v>746</v>
      </c>
      <c r="H246" s="2" t="s">
        <v>536</v>
      </c>
      <c r="I246" s="2" t="s">
        <v>3116</v>
      </c>
      <c r="J246" s="2" t="s">
        <v>3190</v>
      </c>
      <c r="K246" s="2" t="s">
        <v>2206</v>
      </c>
      <c r="L246" s="2" t="s">
        <v>3154</v>
      </c>
      <c r="M246" s="7" t="s">
        <v>3195</v>
      </c>
      <c r="N246" s="2"/>
      <c r="O246" s="2"/>
      <c r="P246" s="2" t="s">
        <v>3170</v>
      </c>
      <c r="Q246" s="2" t="s">
        <v>3175</v>
      </c>
      <c r="R246" s="2" t="s">
        <v>3159</v>
      </c>
      <c r="S246" s="2" t="s">
        <v>2313</v>
      </c>
      <c r="T246" s="2" t="s">
        <v>2355</v>
      </c>
      <c r="U246" s="2" t="s">
        <v>727</v>
      </c>
      <c r="V246" s="2" t="s">
        <v>2431</v>
      </c>
      <c r="W246" s="2"/>
      <c r="Y246" t="str">
        <f>PROPER(Table1[[#This Row],[Industry]])</f>
        <v>Хорека</v>
      </c>
      <c r="Z246" t="str">
        <f>PROPER(Table1[[#This Row],[Insole]])</f>
        <v>Текстил, Интегрирана Стелка</v>
      </c>
    </row>
    <row r="247" spans="1:26" ht="12.75" customHeight="1" x14ac:dyDescent="0.2">
      <c r="A247" s="2" t="s">
        <v>743</v>
      </c>
      <c r="B247" s="2" t="s">
        <v>744</v>
      </c>
      <c r="C247" s="2" t="s">
        <v>745</v>
      </c>
      <c r="D247" s="2" t="s">
        <v>1885</v>
      </c>
      <c r="E247" s="2" t="s">
        <v>2710</v>
      </c>
      <c r="F247" s="2"/>
      <c r="G247" s="2" t="s">
        <v>746</v>
      </c>
      <c r="H247" s="2" t="s">
        <v>536</v>
      </c>
      <c r="I247" s="2" t="s">
        <v>3116</v>
      </c>
      <c r="J247" s="2" t="s">
        <v>3190</v>
      </c>
      <c r="K247" s="2" t="s">
        <v>1787</v>
      </c>
      <c r="L247" s="2" t="s">
        <v>3154</v>
      </c>
      <c r="M247" s="7" t="s">
        <v>3195</v>
      </c>
      <c r="N247" s="2"/>
      <c r="O247" s="2"/>
      <c r="P247" s="2" t="s">
        <v>3170</v>
      </c>
      <c r="Q247" s="2" t="s">
        <v>3175</v>
      </c>
      <c r="R247" s="2" t="s">
        <v>3159</v>
      </c>
      <c r="S247" s="2" t="s">
        <v>2313</v>
      </c>
      <c r="T247" s="2" t="s">
        <v>2355</v>
      </c>
      <c r="U247" s="2" t="s">
        <v>727</v>
      </c>
      <c r="V247" s="2" t="s">
        <v>2431</v>
      </c>
      <c r="W247" s="2"/>
      <c r="Y247" t="str">
        <f>PROPER(Table1[[#This Row],[Industry]])</f>
        <v>Хорека</v>
      </c>
      <c r="Z247" t="str">
        <f>PROPER(Table1[[#This Row],[Insole]])</f>
        <v>Текстил, Интегрирана Стелка</v>
      </c>
    </row>
    <row r="248" spans="1:26" ht="12.75" customHeight="1" x14ac:dyDescent="0.2">
      <c r="A248" s="2" t="s">
        <v>747</v>
      </c>
      <c r="B248" s="2" t="s">
        <v>748</v>
      </c>
      <c r="C248" s="2" t="s">
        <v>749</v>
      </c>
      <c r="D248" s="2" t="s">
        <v>1886</v>
      </c>
      <c r="E248" s="2" t="s">
        <v>2711</v>
      </c>
      <c r="F248" s="2"/>
      <c r="G248" s="2" t="s">
        <v>746</v>
      </c>
      <c r="H248" s="2" t="s">
        <v>536</v>
      </c>
      <c r="I248" s="2" t="s">
        <v>3116</v>
      </c>
      <c r="J248" s="2" t="s">
        <v>3190</v>
      </c>
      <c r="K248" s="2" t="s">
        <v>1787</v>
      </c>
      <c r="L248" s="2" t="s">
        <v>3154</v>
      </c>
      <c r="M248" s="7" t="s">
        <v>3195</v>
      </c>
      <c r="N248" s="2"/>
      <c r="O248" s="2"/>
      <c r="P248" s="2" t="s">
        <v>3170</v>
      </c>
      <c r="Q248" s="2" t="s">
        <v>3175</v>
      </c>
      <c r="R248" s="2" t="s">
        <v>3159</v>
      </c>
      <c r="S248" s="2" t="s">
        <v>2313</v>
      </c>
      <c r="T248" s="2" t="s">
        <v>2355</v>
      </c>
      <c r="U248" s="2" t="s">
        <v>727</v>
      </c>
      <c r="V248" s="2" t="s">
        <v>2431</v>
      </c>
      <c r="W248" s="2"/>
      <c r="Y248" t="str">
        <f>PROPER(Table1[[#This Row],[Industry]])</f>
        <v>Хорека</v>
      </c>
      <c r="Z248" t="str">
        <f>PROPER(Table1[[#This Row],[Insole]])</f>
        <v>Текстил, Интегрирана Стелка</v>
      </c>
    </row>
    <row r="249" spans="1:26" ht="12.75" customHeight="1" x14ac:dyDescent="0.2">
      <c r="A249" s="2" t="s">
        <v>753</v>
      </c>
      <c r="B249" s="2" t="s">
        <v>754</v>
      </c>
      <c r="C249" s="2" t="s">
        <v>755</v>
      </c>
      <c r="D249" s="2" t="s">
        <v>1887</v>
      </c>
      <c r="E249" s="2" t="s">
        <v>2713</v>
      </c>
      <c r="F249" s="2"/>
      <c r="G249" s="2" t="s">
        <v>746</v>
      </c>
      <c r="H249" s="2" t="s">
        <v>536</v>
      </c>
      <c r="I249" s="2" t="s">
        <v>3116</v>
      </c>
      <c r="J249" s="2" t="s">
        <v>3190</v>
      </c>
      <c r="K249" s="2" t="s">
        <v>1787</v>
      </c>
      <c r="L249" s="2" t="s">
        <v>3154</v>
      </c>
      <c r="M249" s="7" t="s">
        <v>3195</v>
      </c>
      <c r="N249" s="2"/>
      <c r="O249" s="2"/>
      <c r="P249" s="2" t="s">
        <v>3170</v>
      </c>
      <c r="Q249" s="2" t="s">
        <v>3175</v>
      </c>
      <c r="R249" s="2" t="s">
        <v>3159</v>
      </c>
      <c r="S249" s="2" t="s">
        <v>2313</v>
      </c>
      <c r="T249" s="2" t="s">
        <v>2355</v>
      </c>
      <c r="U249" s="2" t="s">
        <v>727</v>
      </c>
      <c r="V249" s="2" t="s">
        <v>2431</v>
      </c>
      <c r="W249" s="2"/>
      <c r="Y249" t="str">
        <f>PROPER(Table1[[#This Row],[Industry]])</f>
        <v>Хорека</v>
      </c>
      <c r="Z249" t="str">
        <f>PROPER(Table1[[#This Row],[Insole]])</f>
        <v>Текстил, Интегрирана Стелка</v>
      </c>
    </row>
    <row r="250" spans="1:26" ht="12.75" customHeight="1" x14ac:dyDescent="0.2">
      <c r="A250" s="2" t="s">
        <v>798</v>
      </c>
      <c r="B250" s="2" t="s">
        <v>799</v>
      </c>
      <c r="C250" s="2" t="s">
        <v>800</v>
      </c>
      <c r="D250" s="2" t="s">
        <v>2226</v>
      </c>
      <c r="E250" s="2" t="s">
        <v>2726</v>
      </c>
      <c r="F250" s="2"/>
      <c r="G250" s="2" t="s">
        <v>780</v>
      </c>
      <c r="H250" s="2" t="s">
        <v>536</v>
      </c>
      <c r="I250" s="2" t="s">
        <v>3111</v>
      </c>
      <c r="J250" s="2" t="s">
        <v>3191</v>
      </c>
      <c r="K250" s="2" t="s">
        <v>2211</v>
      </c>
      <c r="L250" s="2" t="s">
        <v>41</v>
      </c>
      <c r="M250" s="7" t="s">
        <v>781</v>
      </c>
      <c r="N250" s="2"/>
      <c r="O250" s="2"/>
      <c r="P250" s="2" t="s">
        <v>3174</v>
      </c>
      <c r="Q250" s="2" t="s">
        <v>3124</v>
      </c>
      <c r="R250" s="2" t="s">
        <v>3157</v>
      </c>
      <c r="S250" s="2" t="s">
        <v>2352</v>
      </c>
      <c r="T250" s="2" t="s">
        <v>2368</v>
      </c>
      <c r="U250" s="2" t="s">
        <v>782</v>
      </c>
      <c r="V250" s="2" t="s">
        <v>2420</v>
      </c>
      <c r="W250" s="2"/>
      <c r="Y250" t="str">
        <f>PROPER(Table1[[#This Row],[Industry]])</f>
        <v>Хорека, Болничен Персонал, Фармацевтика</v>
      </c>
      <c r="Z250" t="str">
        <f>PROPER(Table1[[#This Row],[Insole]])</f>
        <v>Кожа, Интегрирана Стелка</v>
      </c>
    </row>
    <row r="251" spans="1:26" ht="12.75" customHeight="1" x14ac:dyDescent="0.2">
      <c r="A251" s="2" t="s">
        <v>792</v>
      </c>
      <c r="B251" s="2" t="s">
        <v>793</v>
      </c>
      <c r="C251" s="2" t="s">
        <v>794</v>
      </c>
      <c r="D251" s="2" t="s">
        <v>2131</v>
      </c>
      <c r="E251" s="2" t="s">
        <v>2724</v>
      </c>
      <c r="F251" s="2"/>
      <c r="G251" s="2" t="s">
        <v>780</v>
      </c>
      <c r="H251" s="2" t="s">
        <v>536</v>
      </c>
      <c r="I251" s="2" t="s">
        <v>3111</v>
      </c>
      <c r="J251" s="2" t="s">
        <v>3191</v>
      </c>
      <c r="K251" s="2" t="s">
        <v>1984</v>
      </c>
      <c r="L251" s="2" t="s">
        <v>41</v>
      </c>
      <c r="M251" s="7" t="s">
        <v>781</v>
      </c>
      <c r="N251" s="2"/>
      <c r="O251" s="2"/>
      <c r="P251" s="2" t="s">
        <v>3170</v>
      </c>
      <c r="Q251" s="2" t="s">
        <v>3124</v>
      </c>
      <c r="R251" s="2" t="s">
        <v>3157</v>
      </c>
      <c r="S251" s="2" t="s">
        <v>2352</v>
      </c>
      <c r="T251" s="2" t="s">
        <v>2368</v>
      </c>
      <c r="U251" s="2" t="s">
        <v>782</v>
      </c>
      <c r="V251" s="2" t="s">
        <v>2372</v>
      </c>
      <c r="W251" s="2"/>
      <c r="Y251" t="str">
        <f>PROPER(Table1[[#This Row],[Industry]])</f>
        <v>Хорека, Болничен Персонал, Фармацевтика</v>
      </c>
      <c r="Z251" t="str">
        <f>PROPER(Table1[[#This Row],[Insole]])</f>
        <v>Кожа, Интегрирана Стелка</v>
      </c>
    </row>
    <row r="252" spans="1:26" ht="12.75" customHeight="1" x14ac:dyDescent="0.2">
      <c r="A252" s="2" t="s">
        <v>795</v>
      </c>
      <c r="B252" s="2" t="s">
        <v>796</v>
      </c>
      <c r="C252" s="2" t="s">
        <v>797</v>
      </c>
      <c r="D252" s="2" t="s">
        <v>2177</v>
      </c>
      <c r="E252" s="2" t="s">
        <v>2725</v>
      </c>
      <c r="F252" s="2"/>
      <c r="G252" s="2" t="s">
        <v>780</v>
      </c>
      <c r="H252" s="2" t="s">
        <v>536</v>
      </c>
      <c r="I252" s="2" t="s">
        <v>3111</v>
      </c>
      <c r="J252" s="2" t="s">
        <v>3191</v>
      </c>
      <c r="K252" s="2" t="s">
        <v>1787</v>
      </c>
      <c r="L252" s="2" t="s">
        <v>41</v>
      </c>
      <c r="M252" s="7" t="s">
        <v>781</v>
      </c>
      <c r="N252" s="2"/>
      <c r="O252" s="2"/>
      <c r="P252" s="2" t="s">
        <v>3170</v>
      </c>
      <c r="Q252" s="2" t="s">
        <v>3124</v>
      </c>
      <c r="R252" s="2" t="s">
        <v>3157</v>
      </c>
      <c r="S252" s="2" t="s">
        <v>2352</v>
      </c>
      <c r="T252" s="2" t="s">
        <v>2368</v>
      </c>
      <c r="U252" s="2" t="s">
        <v>782</v>
      </c>
      <c r="V252" s="2" t="s">
        <v>2420</v>
      </c>
      <c r="W252" s="2"/>
      <c r="Y252" t="str">
        <f>PROPER(Table1[[#This Row],[Industry]])</f>
        <v>Хорека, Болничен Персонал, Фармацевтика</v>
      </c>
      <c r="Z252" t="str">
        <f>PROPER(Table1[[#This Row],[Insole]])</f>
        <v>Кожа, Интегрирана Стелка</v>
      </c>
    </row>
    <row r="253" spans="1:26" ht="12.75" customHeight="1" x14ac:dyDescent="0.2">
      <c r="A253" s="2" t="s">
        <v>804</v>
      </c>
      <c r="B253" s="2" t="s">
        <v>805</v>
      </c>
      <c r="C253" s="2" t="s">
        <v>806</v>
      </c>
      <c r="D253" s="2" t="s">
        <v>2227</v>
      </c>
      <c r="E253" s="2" t="s">
        <v>2728</v>
      </c>
      <c r="F253" s="2"/>
      <c r="G253" s="2" t="s">
        <v>780</v>
      </c>
      <c r="H253" s="2" t="s">
        <v>536</v>
      </c>
      <c r="I253" s="2" t="s">
        <v>3111</v>
      </c>
      <c r="J253" s="2" t="s">
        <v>3192</v>
      </c>
      <c r="K253" s="2" t="s">
        <v>2211</v>
      </c>
      <c r="L253" s="2" t="s">
        <v>41</v>
      </c>
      <c r="M253" s="7" t="s">
        <v>781</v>
      </c>
      <c r="N253" s="2"/>
      <c r="O253" s="2"/>
      <c r="P253" s="2" t="s">
        <v>3174</v>
      </c>
      <c r="Q253" s="2" t="s">
        <v>3124</v>
      </c>
      <c r="R253" s="2" t="s">
        <v>3157</v>
      </c>
      <c r="S253" s="2" t="s">
        <v>2352</v>
      </c>
      <c r="T253" s="2" t="s">
        <v>2367</v>
      </c>
      <c r="U253" s="2" t="s">
        <v>782</v>
      </c>
      <c r="V253" s="2" t="s">
        <v>2426</v>
      </c>
      <c r="W253" s="2"/>
      <c r="Y253" t="str">
        <f>PROPER(Table1[[#This Row],[Industry]])</f>
        <v>Хорека, Болничен Персонал, Фармацевтика</v>
      </c>
      <c r="Z253" t="str">
        <f>PROPER(Table1[[#This Row],[Insole]])</f>
        <v>Кожа, Интегрирана Стелка</v>
      </c>
    </row>
    <row r="254" spans="1:26" ht="12.75" customHeight="1" x14ac:dyDescent="0.2">
      <c r="A254" s="2" t="s">
        <v>777</v>
      </c>
      <c r="B254" s="2" t="s">
        <v>778</v>
      </c>
      <c r="C254" s="2" t="s">
        <v>779</v>
      </c>
      <c r="D254" s="2" t="s">
        <v>2014</v>
      </c>
      <c r="E254" s="2" t="s">
        <v>2720</v>
      </c>
      <c r="F254" s="2"/>
      <c r="G254" s="2" t="s">
        <v>780</v>
      </c>
      <c r="H254" s="2" t="s">
        <v>536</v>
      </c>
      <c r="I254" s="2" t="s">
        <v>3117</v>
      </c>
      <c r="J254" s="2" t="s">
        <v>3192</v>
      </c>
      <c r="K254" s="2" t="s">
        <v>1984</v>
      </c>
      <c r="L254" s="2" t="s">
        <v>41</v>
      </c>
      <c r="M254" s="7" t="s">
        <v>781</v>
      </c>
      <c r="N254" s="2"/>
      <c r="O254" s="2"/>
      <c r="P254" s="2" t="s">
        <v>3170</v>
      </c>
      <c r="Q254" s="2" t="s">
        <v>3124</v>
      </c>
      <c r="R254" s="2" t="s">
        <v>3157</v>
      </c>
      <c r="S254" s="2" t="s">
        <v>2351</v>
      </c>
      <c r="T254" s="2" t="s">
        <v>2367</v>
      </c>
      <c r="U254" s="2" t="s">
        <v>782</v>
      </c>
      <c r="V254" s="2" t="s">
        <v>2444</v>
      </c>
      <c r="W254" s="2"/>
      <c r="Y254" t="str">
        <f>PROPER(Table1[[#This Row],[Industry]])</f>
        <v>Фармацевтика</v>
      </c>
      <c r="Z254" t="str">
        <f>PROPER(Table1[[#This Row],[Insole]])</f>
        <v>Кожа, Интегрирана Стелка</v>
      </c>
    </row>
    <row r="255" spans="1:26" ht="12.75" customHeight="1" x14ac:dyDescent="0.2">
      <c r="A255" s="2" t="s">
        <v>786</v>
      </c>
      <c r="B255" s="2" t="s">
        <v>787</v>
      </c>
      <c r="C255" s="2" t="s">
        <v>788</v>
      </c>
      <c r="D255" s="2" t="s">
        <v>2015</v>
      </c>
      <c r="E255" s="2" t="s">
        <v>2722</v>
      </c>
      <c r="F255" s="2"/>
      <c r="G255" s="2" t="s">
        <v>780</v>
      </c>
      <c r="H255" s="2" t="s">
        <v>536</v>
      </c>
      <c r="I255" s="2" t="s">
        <v>3111</v>
      </c>
      <c r="J255" s="2" t="s">
        <v>3192</v>
      </c>
      <c r="K255" s="2" t="s">
        <v>1984</v>
      </c>
      <c r="L255" s="2" t="s">
        <v>41</v>
      </c>
      <c r="M255" s="7" t="s">
        <v>781</v>
      </c>
      <c r="N255" s="2"/>
      <c r="O255" s="2"/>
      <c r="P255" s="2" t="s">
        <v>3170</v>
      </c>
      <c r="Q255" s="2" t="s">
        <v>3124</v>
      </c>
      <c r="R255" s="2" t="s">
        <v>3157</v>
      </c>
      <c r="S255" s="2" t="s">
        <v>2352</v>
      </c>
      <c r="T255" s="2" t="s">
        <v>2367</v>
      </c>
      <c r="U255" s="2" t="s">
        <v>782</v>
      </c>
      <c r="V255" s="2" t="s">
        <v>2426</v>
      </c>
      <c r="W255" s="2"/>
      <c r="Y255" t="str">
        <f>PROPER(Table1[[#This Row],[Industry]])</f>
        <v>Хорека, Болничен Персонал, Фармацевтика</v>
      </c>
      <c r="Z255" t="str">
        <f>PROPER(Table1[[#This Row],[Insole]])</f>
        <v>Кожа, Интегрирана Стелка</v>
      </c>
    </row>
    <row r="256" spans="1:26" ht="12.75" customHeight="1" x14ac:dyDescent="0.2">
      <c r="A256" s="2" t="s">
        <v>801</v>
      </c>
      <c r="B256" s="2" t="s">
        <v>802</v>
      </c>
      <c r="C256" s="2" t="s">
        <v>803</v>
      </c>
      <c r="D256" s="2" t="s">
        <v>2016</v>
      </c>
      <c r="E256" s="2" t="s">
        <v>2727</v>
      </c>
      <c r="F256" s="2"/>
      <c r="G256" s="2" t="s">
        <v>780</v>
      </c>
      <c r="H256" s="2" t="s">
        <v>536</v>
      </c>
      <c r="I256" s="2" t="s">
        <v>3117</v>
      </c>
      <c r="J256" s="2" t="s">
        <v>3192</v>
      </c>
      <c r="K256" s="2" t="s">
        <v>1984</v>
      </c>
      <c r="L256" s="2" t="s">
        <v>41</v>
      </c>
      <c r="M256" s="7" t="s">
        <v>781</v>
      </c>
      <c r="N256" s="2"/>
      <c r="O256" s="2"/>
      <c r="P256" s="2" t="s">
        <v>3170</v>
      </c>
      <c r="Q256" s="2" t="s">
        <v>3124</v>
      </c>
      <c r="R256" s="2" t="s">
        <v>3157</v>
      </c>
      <c r="S256" s="2" t="s">
        <v>2351</v>
      </c>
      <c r="T256" s="2" t="s">
        <v>2361</v>
      </c>
      <c r="U256" s="2" t="s">
        <v>782</v>
      </c>
      <c r="V256" s="2" t="s">
        <v>2426</v>
      </c>
      <c r="W256" s="2"/>
      <c r="Y256" t="str">
        <f>PROPER(Table1[[#This Row],[Industry]])</f>
        <v>Фармацевтика</v>
      </c>
      <c r="Z256" t="str">
        <f>PROPER(Table1[[#This Row],[Insole]])</f>
        <v>Кожа, Интегрирана Стелка</v>
      </c>
    </row>
    <row r="257" spans="1:26" ht="12.75" customHeight="1" x14ac:dyDescent="0.2">
      <c r="A257" s="2" t="s">
        <v>1069</v>
      </c>
      <c r="B257" s="2" t="s">
        <v>1070</v>
      </c>
      <c r="C257" s="2" t="s">
        <v>1071</v>
      </c>
      <c r="D257" s="2" t="s">
        <v>2039</v>
      </c>
      <c r="E257" s="2" t="s">
        <v>2814</v>
      </c>
      <c r="F257" s="2"/>
      <c r="G257" s="2" t="s">
        <v>780</v>
      </c>
      <c r="H257" s="2" t="s">
        <v>536</v>
      </c>
      <c r="I257" s="2" t="s">
        <v>3106</v>
      </c>
      <c r="J257" s="2" t="s">
        <v>3192</v>
      </c>
      <c r="K257" s="2" t="s">
        <v>1984</v>
      </c>
      <c r="L257" s="2" t="s">
        <v>41</v>
      </c>
      <c r="M257" s="7" t="s">
        <v>781</v>
      </c>
      <c r="N257" s="2"/>
      <c r="O257" s="2"/>
      <c r="P257" s="2" t="s">
        <v>3170</v>
      </c>
      <c r="Q257" s="2" t="s">
        <v>3124</v>
      </c>
      <c r="R257" s="2" t="s">
        <v>3157</v>
      </c>
      <c r="S257" s="2" t="s">
        <v>2352</v>
      </c>
      <c r="T257" s="2" t="s">
        <v>2367</v>
      </c>
      <c r="U257" s="2" t="s">
        <v>782</v>
      </c>
      <c r="V257" s="2" t="s">
        <v>2444</v>
      </c>
      <c r="W257" s="2"/>
      <c r="Y257" t="str">
        <f>PROPER(Table1[[#This Row],[Industry]])</f>
        <v>Гастрономия / Кухня, Хорека, Болничен Персонал, Фармацевтика</v>
      </c>
      <c r="Z257" t="str">
        <f>PROPER(Table1[[#This Row],[Insole]])</f>
        <v>Кожа, Интегрирана Стелка</v>
      </c>
    </row>
    <row r="258" spans="1:26" ht="12.75" customHeight="1" x14ac:dyDescent="0.2">
      <c r="A258" s="2" t="s">
        <v>783</v>
      </c>
      <c r="B258" s="2" t="s">
        <v>784</v>
      </c>
      <c r="C258" s="2" t="s">
        <v>785</v>
      </c>
      <c r="D258" s="2" t="s">
        <v>2220</v>
      </c>
      <c r="E258" s="2" t="s">
        <v>2721</v>
      </c>
      <c r="F258" s="2"/>
      <c r="G258" s="2" t="s">
        <v>780</v>
      </c>
      <c r="H258" s="2" t="s">
        <v>536</v>
      </c>
      <c r="I258" s="2" t="s">
        <v>3111</v>
      </c>
      <c r="J258" s="2" t="s">
        <v>3192</v>
      </c>
      <c r="K258" s="2" t="s">
        <v>2213</v>
      </c>
      <c r="L258" s="2" t="s">
        <v>41</v>
      </c>
      <c r="M258" s="7" t="s">
        <v>781</v>
      </c>
      <c r="N258" s="2"/>
      <c r="O258" s="2"/>
      <c r="P258" s="2" t="s">
        <v>3170</v>
      </c>
      <c r="Q258" s="2" t="s">
        <v>3124</v>
      </c>
      <c r="R258" s="2" t="s">
        <v>3157</v>
      </c>
      <c r="S258" s="2" t="s">
        <v>2352</v>
      </c>
      <c r="T258" s="2" t="s">
        <v>2367</v>
      </c>
      <c r="U258" s="2" t="s">
        <v>782</v>
      </c>
      <c r="V258" s="2" t="s">
        <v>2444</v>
      </c>
      <c r="W258" s="2"/>
      <c r="Y258" t="str">
        <f>PROPER(Table1[[#This Row],[Industry]])</f>
        <v>Хорека, Болничен Персонал, Фармацевтика</v>
      </c>
      <c r="Z258" t="str">
        <f>PROPER(Table1[[#This Row],[Insole]])</f>
        <v>Кожа, Интегрирана Стелка</v>
      </c>
    </row>
    <row r="259" spans="1:26" ht="12.75" customHeight="1" x14ac:dyDescent="0.2">
      <c r="A259" s="2" t="s">
        <v>789</v>
      </c>
      <c r="B259" s="2" t="s">
        <v>790</v>
      </c>
      <c r="C259" s="2" t="s">
        <v>791</v>
      </c>
      <c r="D259" s="2" t="s">
        <v>1892</v>
      </c>
      <c r="E259" s="2" t="s">
        <v>2723</v>
      </c>
      <c r="F259" s="2"/>
      <c r="G259" s="2" t="s">
        <v>780</v>
      </c>
      <c r="H259" s="2" t="s">
        <v>536</v>
      </c>
      <c r="I259" s="2" t="s">
        <v>3117</v>
      </c>
      <c r="J259" s="2" t="s">
        <v>3192</v>
      </c>
      <c r="K259" s="2" t="s">
        <v>1787</v>
      </c>
      <c r="L259" s="2" t="s">
        <v>41</v>
      </c>
      <c r="M259" s="7" t="s">
        <v>781</v>
      </c>
      <c r="N259" s="2"/>
      <c r="O259" s="2"/>
      <c r="P259" s="2" t="s">
        <v>3170</v>
      </c>
      <c r="Q259" s="2" t="s">
        <v>3124</v>
      </c>
      <c r="R259" s="2" t="s">
        <v>3157</v>
      </c>
      <c r="S259" s="2" t="s">
        <v>2351</v>
      </c>
      <c r="T259" s="2" t="s">
        <v>2367</v>
      </c>
      <c r="U259" s="2" t="s">
        <v>782</v>
      </c>
      <c r="V259" s="2" t="s">
        <v>2445</v>
      </c>
      <c r="W259" s="2"/>
      <c r="Y259" t="str">
        <f>PROPER(Table1[[#This Row],[Industry]])</f>
        <v>Фармацевтика</v>
      </c>
      <c r="Z259" t="str">
        <f>PROPER(Table1[[#This Row],[Insole]])</f>
        <v>Кожа, Интегрирана Стелка</v>
      </c>
    </row>
    <row r="260" spans="1:26" ht="12.75" customHeight="1" x14ac:dyDescent="0.2">
      <c r="A260" s="2" t="s">
        <v>1072</v>
      </c>
      <c r="B260" s="2" t="s">
        <v>1073</v>
      </c>
      <c r="C260" s="2" t="s">
        <v>1074</v>
      </c>
      <c r="D260" s="2" t="s">
        <v>1908</v>
      </c>
      <c r="E260" s="2" t="s">
        <v>2815</v>
      </c>
      <c r="F260" s="2"/>
      <c r="G260" s="2" t="s">
        <v>780</v>
      </c>
      <c r="H260" s="2" t="s">
        <v>536</v>
      </c>
      <c r="I260" s="2" t="s">
        <v>3106</v>
      </c>
      <c r="J260" s="2" t="s">
        <v>3192</v>
      </c>
      <c r="K260" s="2" t="s">
        <v>1787</v>
      </c>
      <c r="L260" s="2" t="s">
        <v>41</v>
      </c>
      <c r="M260" s="7" t="s">
        <v>781</v>
      </c>
      <c r="N260" s="2"/>
      <c r="O260" s="2"/>
      <c r="P260" s="2" t="s">
        <v>3170</v>
      </c>
      <c r="Q260" s="2" t="s">
        <v>3124</v>
      </c>
      <c r="R260" s="2" t="s">
        <v>3157</v>
      </c>
      <c r="S260" s="2" t="s">
        <v>2352</v>
      </c>
      <c r="T260" s="2" t="s">
        <v>2367</v>
      </c>
      <c r="U260" s="2" t="s">
        <v>782</v>
      </c>
      <c r="V260" s="2" t="s">
        <v>2444</v>
      </c>
      <c r="W260" s="2"/>
      <c r="Y260" t="str">
        <f>PROPER(Table1[[#This Row],[Industry]])</f>
        <v>Гастрономия / Кухня, Хорека, Болничен Персонал, Фармацевтика</v>
      </c>
      <c r="Z260" t="str">
        <f>PROPER(Table1[[#This Row],[Insole]])</f>
        <v>Кожа, Интегрирана Стелка</v>
      </c>
    </row>
    <row r="261" spans="1:26" ht="12.75" customHeight="1" x14ac:dyDescent="0.2">
      <c r="A261" s="2" t="s">
        <v>1075</v>
      </c>
      <c r="B261" s="2" t="s">
        <v>1076</v>
      </c>
      <c r="C261" s="2" t="s">
        <v>1077</v>
      </c>
      <c r="D261" s="2" t="s">
        <v>2147</v>
      </c>
      <c r="E261" s="2" t="s">
        <v>2816</v>
      </c>
      <c r="F261" s="2"/>
      <c r="G261" s="2" t="s">
        <v>780</v>
      </c>
      <c r="H261" s="2" t="s">
        <v>536</v>
      </c>
      <c r="I261" s="2" t="s">
        <v>3106</v>
      </c>
      <c r="J261" s="2" t="s">
        <v>3191</v>
      </c>
      <c r="K261" s="2" t="s">
        <v>1984</v>
      </c>
      <c r="L261" s="2" t="s">
        <v>3154</v>
      </c>
      <c r="M261" s="7" t="s">
        <v>3195</v>
      </c>
      <c r="N261" s="2"/>
      <c r="O261" s="2"/>
      <c r="P261" s="2" t="s">
        <v>3173</v>
      </c>
      <c r="Q261" s="2" t="s">
        <v>3176</v>
      </c>
      <c r="R261" s="2" t="s">
        <v>3165</v>
      </c>
      <c r="S261" s="2" t="s">
        <v>2352</v>
      </c>
      <c r="T261" s="2" t="s">
        <v>2367</v>
      </c>
      <c r="U261" s="2" t="s">
        <v>901</v>
      </c>
      <c r="V261" s="2" t="s">
        <v>2444</v>
      </c>
      <c r="W261" s="2"/>
      <c r="Y261" t="str">
        <f>PROPER(Table1[[#This Row],[Industry]])</f>
        <v>Гастрономия / Кухня, Хорека, Болничен Персонал, Фармацевтика</v>
      </c>
      <c r="Z261" t="str">
        <f>PROPER(Table1[[#This Row],[Insole]])</f>
        <v>Кожа, Ортопедична Стелка, Интегрирана Стелка</v>
      </c>
    </row>
    <row r="262" spans="1:26" ht="12.75" customHeight="1" x14ac:dyDescent="0.2">
      <c r="A262" s="2" t="s">
        <v>1078</v>
      </c>
      <c r="B262" s="2" t="s">
        <v>1079</v>
      </c>
      <c r="C262" s="2" t="s">
        <v>1080</v>
      </c>
      <c r="D262" s="2" t="s">
        <v>2183</v>
      </c>
      <c r="E262" s="2" t="s">
        <v>2817</v>
      </c>
      <c r="F262" s="2"/>
      <c r="G262" s="2" t="s">
        <v>780</v>
      </c>
      <c r="H262" s="2" t="s">
        <v>536</v>
      </c>
      <c r="I262" s="2" t="s">
        <v>3106</v>
      </c>
      <c r="J262" s="2" t="s">
        <v>3191</v>
      </c>
      <c r="K262" s="2" t="s">
        <v>1787</v>
      </c>
      <c r="L262" s="2" t="s">
        <v>3154</v>
      </c>
      <c r="M262" s="7" t="s">
        <v>3195</v>
      </c>
      <c r="N262" s="2"/>
      <c r="O262" s="2"/>
      <c r="P262" s="2" t="s">
        <v>3173</v>
      </c>
      <c r="Q262" s="2" t="s">
        <v>3176</v>
      </c>
      <c r="R262" s="2" t="s">
        <v>3165</v>
      </c>
      <c r="S262" s="2" t="s">
        <v>2352</v>
      </c>
      <c r="T262" s="2" t="s">
        <v>2367</v>
      </c>
      <c r="U262" s="2" t="s">
        <v>901</v>
      </c>
      <c r="V262" s="2" t="s">
        <v>2444</v>
      </c>
      <c r="W262" s="2"/>
      <c r="Y262" t="str">
        <f>PROPER(Table1[[#This Row],[Industry]])</f>
        <v>Гастрономия / Кухня, Хорека, Болничен Персонал, Фармацевтика</v>
      </c>
      <c r="Z262" t="str">
        <f>PROPER(Table1[[#This Row],[Insole]])</f>
        <v>Кожа, Ортопедична Стелка, Интегрирана Стелка</v>
      </c>
    </row>
    <row r="263" spans="1:26" ht="12.75" customHeight="1" x14ac:dyDescent="0.2">
      <c r="A263" s="2" t="s">
        <v>459</v>
      </c>
      <c r="B263" s="2" t="s">
        <v>460</v>
      </c>
      <c r="C263" s="2" t="s">
        <v>461</v>
      </c>
      <c r="D263" s="2" t="s">
        <v>1848</v>
      </c>
      <c r="E263" s="2" t="s">
        <v>2629</v>
      </c>
      <c r="F263" s="2"/>
      <c r="G263" s="2" t="s">
        <v>462</v>
      </c>
      <c r="H263" s="2" t="s">
        <v>35</v>
      </c>
      <c r="I263" s="2" t="s">
        <v>3141</v>
      </c>
      <c r="J263" s="2" t="s">
        <v>3190</v>
      </c>
      <c r="K263" s="2" t="s">
        <v>1787</v>
      </c>
      <c r="L263" s="2" t="s">
        <v>3194</v>
      </c>
      <c r="M263" s="7" t="s">
        <v>3193</v>
      </c>
      <c r="N263" s="2" t="s">
        <v>3203</v>
      </c>
      <c r="O263" s="2"/>
      <c r="P263" s="2" t="s">
        <v>3170</v>
      </c>
      <c r="Q263" s="2" t="s">
        <v>3170</v>
      </c>
      <c r="R263" s="2" t="s">
        <v>3167</v>
      </c>
      <c r="S263" s="2" t="s">
        <v>2341</v>
      </c>
      <c r="T263" s="2" t="s">
        <v>2355</v>
      </c>
      <c r="U263" s="2" t="s">
        <v>87</v>
      </c>
      <c r="V263" s="2" t="s">
        <v>2420</v>
      </c>
      <c r="W263" s="2"/>
      <c r="Y263" t="str">
        <f>PROPER(Table1[[#This Row],[Industry]])</f>
        <v>Пожарникари И Спасители, Хорека, Други, Охрана И Сигурност / Охрана</v>
      </c>
      <c r="Z263" t="str">
        <f>PROPER(Table1[[#This Row],[Insole]])</f>
        <v>Кожа</v>
      </c>
    </row>
    <row r="264" spans="1:26" ht="12.75" customHeight="1" x14ac:dyDescent="0.2">
      <c r="A264" s="2" t="s">
        <v>398</v>
      </c>
      <c r="B264" s="2" t="s">
        <v>399</v>
      </c>
      <c r="C264" s="2" t="s">
        <v>400</v>
      </c>
      <c r="D264" s="2" t="s">
        <v>1838</v>
      </c>
      <c r="E264" s="2" t="s">
        <v>2614</v>
      </c>
      <c r="F264" s="2"/>
      <c r="G264" s="2" t="s">
        <v>401</v>
      </c>
      <c r="H264" s="2" t="s">
        <v>35</v>
      </c>
      <c r="I264" s="2" t="s">
        <v>3145</v>
      </c>
      <c r="J264" s="2" t="s">
        <v>3190</v>
      </c>
      <c r="K264" s="2" t="s">
        <v>1787</v>
      </c>
      <c r="L264" s="2" t="s">
        <v>3194</v>
      </c>
      <c r="M264" s="7" t="s">
        <v>3193</v>
      </c>
      <c r="N264" s="2" t="s">
        <v>3203</v>
      </c>
      <c r="O264" s="2"/>
      <c r="P264" s="2" t="s">
        <v>3170</v>
      </c>
      <c r="Q264" s="2" t="s">
        <v>3170</v>
      </c>
      <c r="R264" s="2" t="s">
        <v>3167</v>
      </c>
      <c r="S264" s="2" t="s">
        <v>2339</v>
      </c>
      <c r="T264" s="2" t="s">
        <v>2355</v>
      </c>
      <c r="U264" s="2" t="s">
        <v>43</v>
      </c>
      <c r="V264" s="2" t="s">
        <v>2412</v>
      </c>
      <c r="W264" s="2"/>
      <c r="Y264" t="str">
        <f>PROPER(Table1[[#This Row],[Industry]])</f>
        <v>Пожарникари И Спасители, Хорека, Други</v>
      </c>
      <c r="Z264" t="str">
        <f>PROPER(Table1[[#This Row],[Insole]])</f>
        <v>Кожа</v>
      </c>
    </row>
    <row r="265" spans="1:26" ht="12.75" customHeight="1" x14ac:dyDescent="0.2">
      <c r="A265" s="2" t="s">
        <v>88</v>
      </c>
      <c r="B265" s="2" t="s">
        <v>89</v>
      </c>
      <c r="C265" s="4" t="s">
        <v>1784</v>
      </c>
      <c r="D265" s="2" t="s">
        <v>1796</v>
      </c>
      <c r="E265" s="2" t="s">
        <v>2529</v>
      </c>
      <c r="F265" s="2"/>
      <c r="G265" s="2" t="s">
        <v>90</v>
      </c>
      <c r="H265" s="2" t="s">
        <v>35</v>
      </c>
      <c r="I265" s="2" t="s">
        <v>3142</v>
      </c>
      <c r="J265" s="2" t="s">
        <v>1783</v>
      </c>
      <c r="K265" s="2" t="s">
        <v>1787</v>
      </c>
      <c r="L265" s="2" t="s">
        <v>3193</v>
      </c>
      <c r="M265" s="7" t="s">
        <v>3193</v>
      </c>
      <c r="N265" s="2" t="s">
        <v>3236</v>
      </c>
      <c r="O265" s="2"/>
      <c r="P265" s="2" t="s">
        <v>3171</v>
      </c>
      <c r="Q265" s="2" t="s">
        <v>3168</v>
      </c>
      <c r="R265" s="2" t="s">
        <v>3166</v>
      </c>
      <c r="S265" s="2" t="s">
        <v>2332</v>
      </c>
      <c r="T265" s="2" t="s">
        <v>2355</v>
      </c>
      <c r="U265" s="2" t="s">
        <v>91</v>
      </c>
      <c r="V265" s="2" t="s">
        <v>2379</v>
      </c>
      <c r="W265" s="2"/>
      <c r="Y265" t="str">
        <f>PROPER(Table1[[#This Row],[Industry]])</f>
        <v>Тактически</v>
      </c>
      <c r="Z265" t="str">
        <f>PROPER(Table1[[#This Row],[Insole]])</f>
        <v>Текстил, Антибактериална Стелка</v>
      </c>
    </row>
    <row r="266" spans="1:26" ht="12.75" customHeight="1" x14ac:dyDescent="0.2">
      <c r="A266" s="2" t="s">
        <v>32</v>
      </c>
      <c r="B266" s="2" t="s">
        <v>33</v>
      </c>
      <c r="C266" s="2" t="s">
        <v>1777</v>
      </c>
      <c r="D266" s="2" t="s">
        <v>1786</v>
      </c>
      <c r="E266" s="2" t="s">
        <v>2517</v>
      </c>
      <c r="F266" s="2"/>
      <c r="G266" s="2" t="s">
        <v>34</v>
      </c>
      <c r="H266" s="2" t="s">
        <v>35</v>
      </c>
      <c r="I266" s="2" t="s">
        <v>3142</v>
      </c>
      <c r="J266" s="2" t="s">
        <v>3190</v>
      </c>
      <c r="K266" s="2" t="s">
        <v>1787</v>
      </c>
      <c r="L266" s="2" t="s">
        <v>3193</v>
      </c>
      <c r="M266" s="7" t="s">
        <v>3193</v>
      </c>
      <c r="N266" s="2" t="s">
        <v>3203</v>
      </c>
      <c r="O266" s="2"/>
      <c r="P266" s="2" t="s">
        <v>3170</v>
      </c>
      <c r="Q266" s="2" t="s">
        <v>3170</v>
      </c>
      <c r="R266" s="2" t="s">
        <v>3167</v>
      </c>
      <c r="S266" s="2" t="s">
        <v>2332</v>
      </c>
      <c r="T266" s="2" t="s">
        <v>2355</v>
      </c>
      <c r="U266" s="2" t="s">
        <v>36</v>
      </c>
      <c r="V266" s="2" t="s">
        <v>2370</v>
      </c>
      <c r="W266" s="2"/>
      <c r="Y266" t="str">
        <f>PROPER(Table1[[#This Row],[Industry]])</f>
        <v>Тактически</v>
      </c>
      <c r="Z266" t="str">
        <f>PROPER(Table1[[#This Row],[Insole]])</f>
        <v>Кожа</v>
      </c>
    </row>
    <row r="267" spans="1:26" ht="12.75" customHeight="1" x14ac:dyDescent="0.2">
      <c r="A267" s="2" t="s">
        <v>526</v>
      </c>
      <c r="B267" s="2" t="s">
        <v>527</v>
      </c>
      <c r="C267" s="2" t="s">
        <v>528</v>
      </c>
      <c r="D267" s="2" t="s">
        <v>2222</v>
      </c>
      <c r="E267" s="2" t="s">
        <v>2648</v>
      </c>
      <c r="F267" s="2"/>
      <c r="G267" s="2" t="s">
        <v>466</v>
      </c>
      <c r="H267" s="2" t="s">
        <v>35</v>
      </c>
      <c r="I267" s="2" t="s">
        <v>3128</v>
      </c>
      <c r="J267" s="2" t="s">
        <v>3190</v>
      </c>
      <c r="K267" s="2" t="s">
        <v>2211</v>
      </c>
      <c r="L267" s="2" t="s">
        <v>95</v>
      </c>
      <c r="M267" s="7" t="s">
        <v>467</v>
      </c>
      <c r="N267" s="2" t="s">
        <v>3196</v>
      </c>
      <c r="O267" s="3" t="s">
        <v>2323</v>
      </c>
      <c r="P267" s="2" t="s">
        <v>3174</v>
      </c>
      <c r="Q267" s="2" t="s">
        <v>3168</v>
      </c>
      <c r="R267" s="2" t="s">
        <v>3155</v>
      </c>
      <c r="S267" s="2" t="s">
        <v>2326</v>
      </c>
      <c r="T267" s="2" t="s">
        <v>2355</v>
      </c>
      <c r="U267" s="2" t="s">
        <v>49</v>
      </c>
      <c r="V267" s="2" t="s">
        <v>2404</v>
      </c>
      <c r="W267" s="2" t="s">
        <v>49</v>
      </c>
      <c r="Y267" t="str">
        <f>PROPER(Table1[[#This Row],[Industry]])</f>
        <v>Лека Индустрия, Транспорт / Склад И Логистика</v>
      </c>
      <c r="Z267" t="str">
        <f>PROPER(Table1[[#This Row],[Insole]])</f>
        <v>Текстил,Сменяема Стелка</v>
      </c>
    </row>
    <row r="268" spans="1:26" ht="12.75" customHeight="1" x14ac:dyDescent="0.2">
      <c r="A268" s="2" t="s">
        <v>487</v>
      </c>
      <c r="B268" s="2" t="s">
        <v>488</v>
      </c>
      <c r="C268" s="2" t="s">
        <v>489</v>
      </c>
      <c r="D268" s="2" t="s">
        <v>1852</v>
      </c>
      <c r="E268" s="2" t="s">
        <v>2636</v>
      </c>
      <c r="F268" s="2"/>
      <c r="G268" s="2" t="s">
        <v>466</v>
      </c>
      <c r="H268" s="2" t="s">
        <v>35</v>
      </c>
      <c r="I268" s="2" t="s">
        <v>3128</v>
      </c>
      <c r="J268" s="2" t="s">
        <v>3190</v>
      </c>
      <c r="K268" s="2" t="s">
        <v>1787</v>
      </c>
      <c r="L268" s="2" t="s">
        <v>95</v>
      </c>
      <c r="M268" s="7" t="s">
        <v>467</v>
      </c>
      <c r="N268" s="2" t="s">
        <v>3204</v>
      </c>
      <c r="O268" s="3" t="s">
        <v>2323</v>
      </c>
      <c r="P268" s="2" t="s">
        <v>3170</v>
      </c>
      <c r="Q268" s="2" t="s">
        <v>3168</v>
      </c>
      <c r="R268" s="2" t="s">
        <v>3155</v>
      </c>
      <c r="S268" s="2" t="s">
        <v>2326</v>
      </c>
      <c r="T268" s="2" t="s">
        <v>2355</v>
      </c>
      <c r="U268" s="2" t="s">
        <v>49</v>
      </c>
      <c r="V268" s="2" t="s">
        <v>2392</v>
      </c>
      <c r="W268" s="2" t="s">
        <v>49</v>
      </c>
      <c r="Y268" t="str">
        <f>PROPER(Table1[[#This Row],[Industry]])</f>
        <v>Лека Индустрия, Транспорт / Склад И Логистика</v>
      </c>
      <c r="Z268" t="str">
        <f>PROPER(Table1[[#This Row],[Insole]])</f>
        <v>Текстил,Сменяема Стелка</v>
      </c>
    </row>
    <row r="269" spans="1:26" ht="12.75" customHeight="1" x14ac:dyDescent="0.2">
      <c r="A269" s="2" t="s">
        <v>496</v>
      </c>
      <c r="B269" s="2" t="s">
        <v>497</v>
      </c>
      <c r="C269" s="2" t="s">
        <v>498</v>
      </c>
      <c r="D269" s="2" t="s">
        <v>1855</v>
      </c>
      <c r="E269" s="2" t="s">
        <v>2639</v>
      </c>
      <c r="F269" s="6" t="s">
        <v>3059</v>
      </c>
      <c r="G269" s="2" t="s">
        <v>466</v>
      </c>
      <c r="H269" s="2" t="s">
        <v>35</v>
      </c>
      <c r="I269" s="2" t="s">
        <v>3128</v>
      </c>
      <c r="J269" s="2" t="s">
        <v>3190</v>
      </c>
      <c r="K269" s="2" t="s">
        <v>1787</v>
      </c>
      <c r="L269" s="2" t="s">
        <v>95</v>
      </c>
      <c r="M269" s="7" t="s">
        <v>467</v>
      </c>
      <c r="N269" s="2" t="s">
        <v>3204</v>
      </c>
      <c r="O269" s="3" t="s">
        <v>2323</v>
      </c>
      <c r="P269" s="2" t="s">
        <v>3170</v>
      </c>
      <c r="Q269" s="2" t="s">
        <v>3168</v>
      </c>
      <c r="R269" s="2" t="s">
        <v>3155</v>
      </c>
      <c r="S269" s="2" t="s">
        <v>2326</v>
      </c>
      <c r="T269" s="2" t="s">
        <v>2355</v>
      </c>
      <c r="U269" s="2" t="s">
        <v>49</v>
      </c>
      <c r="V269" s="2" t="s">
        <v>2374</v>
      </c>
      <c r="W269" s="2"/>
      <c r="Y269" t="str">
        <f>PROPER(Table1[[#This Row],[Industry]])</f>
        <v>Лека Индустрия, Транспорт / Склад И Логистика</v>
      </c>
      <c r="Z269" t="str">
        <f>PROPER(Table1[[#This Row],[Insole]])</f>
        <v>Текстил,Сменяема Стелка</v>
      </c>
    </row>
    <row r="270" spans="1:26" ht="12.75" customHeight="1" x14ac:dyDescent="0.2">
      <c r="A270" s="2" t="s">
        <v>463</v>
      </c>
      <c r="B270" s="2" t="s">
        <v>464</v>
      </c>
      <c r="C270" s="2" t="s">
        <v>465</v>
      </c>
      <c r="D270" s="2" t="s">
        <v>1849</v>
      </c>
      <c r="E270" s="2" t="s">
        <v>2630</v>
      </c>
      <c r="F270" s="2"/>
      <c r="G270" s="2" t="s">
        <v>466</v>
      </c>
      <c r="H270" s="2" t="s">
        <v>35</v>
      </c>
      <c r="I270" s="2" t="s">
        <v>3128</v>
      </c>
      <c r="J270" s="2" t="s">
        <v>3190</v>
      </c>
      <c r="K270" s="2" t="s">
        <v>1787</v>
      </c>
      <c r="L270" s="2" t="s">
        <v>41</v>
      </c>
      <c r="M270" s="7" t="s">
        <v>467</v>
      </c>
      <c r="N270" s="2" t="s">
        <v>3202</v>
      </c>
      <c r="O270" s="3" t="s">
        <v>2323</v>
      </c>
      <c r="P270" s="2" t="s">
        <v>3170</v>
      </c>
      <c r="Q270" s="2" t="s">
        <v>3168</v>
      </c>
      <c r="R270" s="2" t="s">
        <v>3155</v>
      </c>
      <c r="S270" s="2" t="s">
        <v>2326</v>
      </c>
      <c r="T270" s="2" t="s">
        <v>2355</v>
      </c>
      <c r="U270" s="2" t="s">
        <v>49</v>
      </c>
      <c r="V270" s="2" t="s">
        <v>2380</v>
      </c>
      <c r="W270" s="2"/>
      <c r="Y270" t="str">
        <f>PROPER(Table1[[#This Row],[Industry]])</f>
        <v>Лека Индустрия, Транспорт / Склад И Логистика</v>
      </c>
      <c r="Z270" t="str">
        <f>PROPER(Table1[[#This Row],[Insole]])</f>
        <v>Текстил,Сменяема Стелка</v>
      </c>
    </row>
    <row r="271" spans="1:26" ht="12.75" customHeight="1" x14ac:dyDescent="0.2">
      <c r="A271" s="2" t="s">
        <v>269</v>
      </c>
      <c r="B271" s="2" t="s">
        <v>270</v>
      </c>
      <c r="C271" s="2" t="s">
        <v>271</v>
      </c>
      <c r="D271" s="2" t="s">
        <v>1822</v>
      </c>
      <c r="E271" s="2" t="s">
        <v>2574</v>
      </c>
      <c r="F271" s="2"/>
      <c r="G271" s="2" t="s">
        <v>272</v>
      </c>
      <c r="H271" s="2" t="s">
        <v>35</v>
      </c>
      <c r="I271" s="2" t="s">
        <v>3125</v>
      </c>
      <c r="J271" s="2" t="s">
        <v>3192</v>
      </c>
      <c r="K271" s="2" t="s">
        <v>1787</v>
      </c>
      <c r="L271" s="2" t="s">
        <v>95</v>
      </c>
      <c r="M271" s="7" t="s">
        <v>273</v>
      </c>
      <c r="N271" s="2" t="s">
        <v>3196</v>
      </c>
      <c r="O271" s="3" t="s">
        <v>2323</v>
      </c>
      <c r="P271" s="2" t="s">
        <v>3174</v>
      </c>
      <c r="Q271" s="2" t="s">
        <v>3168</v>
      </c>
      <c r="R271" s="2" t="s">
        <v>3155</v>
      </c>
      <c r="S271" s="2" t="s">
        <v>2328</v>
      </c>
      <c r="T271" s="2" t="s">
        <v>2361</v>
      </c>
      <c r="U271" s="2" t="s">
        <v>49</v>
      </c>
      <c r="V271" s="2" t="s">
        <v>2374</v>
      </c>
      <c r="W271" s="2" t="s">
        <v>49</v>
      </c>
      <c r="Y271" t="str">
        <f>PROPER(Table1[[#This Row],[Industry]])</f>
        <v>Електронна Индустрия, Лека Индустрия, Транспорт / Склад И Логистика</v>
      </c>
      <c r="Z271" t="str">
        <f>PROPER(Table1[[#This Row],[Insole]])</f>
        <v>Текстил,Сменяема Стелка</v>
      </c>
    </row>
    <row r="272" spans="1:26" ht="12.75" customHeight="1" x14ac:dyDescent="0.2">
      <c r="A272" s="2" t="s">
        <v>388</v>
      </c>
      <c r="B272" s="2" t="s">
        <v>389</v>
      </c>
      <c r="C272" s="2" t="s">
        <v>390</v>
      </c>
      <c r="D272" s="2" t="s">
        <v>1836</v>
      </c>
      <c r="E272" s="2" t="s">
        <v>2611</v>
      </c>
      <c r="F272" s="2"/>
      <c r="G272" s="2" t="s">
        <v>391</v>
      </c>
      <c r="H272" s="2" t="s">
        <v>53</v>
      </c>
      <c r="I272" s="2" t="s">
        <v>3142</v>
      </c>
      <c r="J272" s="2" t="s">
        <v>1783</v>
      </c>
      <c r="K272" s="2" t="s">
        <v>1787</v>
      </c>
      <c r="L272" s="2" t="s">
        <v>3193</v>
      </c>
      <c r="M272" s="7" t="s">
        <v>3193</v>
      </c>
      <c r="N272" s="2" t="s">
        <v>3199</v>
      </c>
      <c r="O272" s="2"/>
      <c r="P272" s="2" t="s">
        <v>3170</v>
      </c>
      <c r="Q272" s="2" t="s">
        <v>3170</v>
      </c>
      <c r="R272" s="2" t="s">
        <v>3162</v>
      </c>
      <c r="S272" s="2" t="s">
        <v>2317</v>
      </c>
      <c r="T272" s="2" t="s">
        <v>2355</v>
      </c>
      <c r="U272" s="2" t="s">
        <v>43</v>
      </c>
      <c r="V272" s="2" t="s">
        <v>2410</v>
      </c>
      <c r="W272" s="2"/>
      <c r="Y272" t="str">
        <f>PROPER(Table1[[#This Row],[Industry]])</f>
        <v>Тактически</v>
      </c>
      <c r="Z272" t="str">
        <f>PROPER(Table1[[#This Row],[Insole]])</f>
        <v>Текстил</v>
      </c>
    </row>
    <row r="273" spans="1:26" ht="12.75" customHeight="1" x14ac:dyDescent="0.2">
      <c r="A273" s="2" t="s">
        <v>835</v>
      </c>
      <c r="B273" s="2" t="s">
        <v>836</v>
      </c>
      <c r="C273" s="2" t="s">
        <v>837</v>
      </c>
      <c r="D273" s="2" t="s">
        <v>2017</v>
      </c>
      <c r="E273" s="2" t="s">
        <v>2739</v>
      </c>
      <c r="F273" s="2"/>
      <c r="G273" s="2" t="s">
        <v>556</v>
      </c>
      <c r="H273" s="2" t="s">
        <v>536</v>
      </c>
      <c r="I273" s="2" t="s">
        <v>3116</v>
      </c>
      <c r="J273" s="2" t="s">
        <v>3190</v>
      </c>
      <c r="K273" s="2" t="s">
        <v>1984</v>
      </c>
      <c r="L273" s="2" t="s">
        <v>41</v>
      </c>
      <c r="M273" s="7" t="s">
        <v>838</v>
      </c>
      <c r="N273" s="2"/>
      <c r="O273" s="2"/>
      <c r="P273" s="2" t="s">
        <v>3170</v>
      </c>
      <c r="Q273" s="2" t="s">
        <v>3173</v>
      </c>
      <c r="R273" s="2" t="s">
        <v>3161</v>
      </c>
      <c r="S273" s="2" t="s">
        <v>2346</v>
      </c>
      <c r="T273" s="2" t="s">
        <v>2355</v>
      </c>
      <c r="U273" s="2" t="s">
        <v>839</v>
      </c>
      <c r="V273" s="2" t="s">
        <v>2444</v>
      </c>
      <c r="W273" s="2"/>
      <c r="Y273" t="str">
        <f>PROPER(Table1[[#This Row],[Industry]])</f>
        <v>Хорека</v>
      </c>
      <c r="Z273" t="str">
        <f>PROPER(Table1[[#This Row],[Insole]])</f>
        <v>Текстил,Сменяема Стелка, Масажираща Стелка</v>
      </c>
    </row>
    <row r="274" spans="1:26" ht="12.75" customHeight="1" x14ac:dyDescent="0.2">
      <c r="A274" s="2" t="s">
        <v>840</v>
      </c>
      <c r="B274" s="2" t="s">
        <v>841</v>
      </c>
      <c r="C274" s="2" t="s">
        <v>842</v>
      </c>
      <c r="D274" s="2" t="s">
        <v>1893</v>
      </c>
      <c r="E274" s="2" t="s">
        <v>2740</v>
      </c>
      <c r="F274" s="2"/>
      <c r="G274" s="2" t="s">
        <v>556</v>
      </c>
      <c r="H274" s="2" t="s">
        <v>536</v>
      </c>
      <c r="I274" s="2" t="s">
        <v>3116</v>
      </c>
      <c r="J274" s="2" t="s">
        <v>3190</v>
      </c>
      <c r="K274" s="2" t="s">
        <v>1787</v>
      </c>
      <c r="L274" s="2" t="s">
        <v>41</v>
      </c>
      <c r="M274" s="7" t="s">
        <v>838</v>
      </c>
      <c r="N274" s="2"/>
      <c r="O274" s="2"/>
      <c r="P274" s="2" t="s">
        <v>3170</v>
      </c>
      <c r="Q274" s="2" t="s">
        <v>3173</v>
      </c>
      <c r="R274" s="2" t="s">
        <v>3161</v>
      </c>
      <c r="S274" s="2" t="s">
        <v>2346</v>
      </c>
      <c r="T274" s="2" t="s">
        <v>2355</v>
      </c>
      <c r="U274" s="2" t="s">
        <v>839</v>
      </c>
      <c r="V274" s="2" t="s">
        <v>2444</v>
      </c>
      <c r="W274" s="2"/>
      <c r="Y274" t="str">
        <f>PROPER(Table1[[#This Row],[Industry]])</f>
        <v>Хорека</v>
      </c>
      <c r="Z274" t="str">
        <f>PROPER(Table1[[#This Row],[Insole]])</f>
        <v>Текстил,Сменяема Стелка, Масажираща Стелка</v>
      </c>
    </row>
    <row r="275" spans="1:26" ht="12.75" customHeight="1" x14ac:dyDescent="0.2">
      <c r="A275" s="2" t="s">
        <v>1359</v>
      </c>
      <c r="B275" s="2" t="s">
        <v>1360</v>
      </c>
      <c r="C275" s="2" t="s">
        <v>1361</v>
      </c>
      <c r="D275" s="2" t="s">
        <v>1942</v>
      </c>
      <c r="E275" s="2" t="s">
        <v>2906</v>
      </c>
      <c r="F275" s="2"/>
      <c r="G275" s="2" t="s">
        <v>556</v>
      </c>
      <c r="H275" s="2" t="s">
        <v>536</v>
      </c>
      <c r="I275" s="2" t="s">
        <v>3116</v>
      </c>
      <c r="J275" s="2" t="s">
        <v>3190</v>
      </c>
      <c r="K275" s="2" t="s">
        <v>1787</v>
      </c>
      <c r="L275" s="2" t="s">
        <v>41</v>
      </c>
      <c r="M275" s="7" t="s">
        <v>838</v>
      </c>
      <c r="N275" s="2"/>
      <c r="O275" s="2"/>
      <c r="P275" s="2" t="s">
        <v>3170</v>
      </c>
      <c r="Q275" s="2" t="s">
        <v>3173</v>
      </c>
      <c r="R275" s="2" t="s">
        <v>3161</v>
      </c>
      <c r="S275" s="2" t="s">
        <v>2346</v>
      </c>
      <c r="T275" s="2" t="s">
        <v>2355</v>
      </c>
      <c r="U275" s="2" t="s">
        <v>839</v>
      </c>
      <c r="V275" s="2" t="s">
        <v>2412</v>
      </c>
      <c r="W275" s="2"/>
      <c r="Y275" t="str">
        <f>PROPER(Table1[[#This Row],[Industry]])</f>
        <v>Хорека</v>
      </c>
      <c r="Z275" t="str">
        <f>PROPER(Table1[[#This Row],[Insole]])</f>
        <v>Текстил,Сменяема Стелка, Масажираща Стелка</v>
      </c>
    </row>
    <row r="276" spans="1:26" ht="12.75" customHeight="1" x14ac:dyDescent="0.2">
      <c r="A276" s="2" t="s">
        <v>902</v>
      </c>
      <c r="B276" s="2" t="s">
        <v>903</v>
      </c>
      <c r="C276" s="2" t="s">
        <v>904</v>
      </c>
      <c r="D276" s="2" t="s">
        <v>2136</v>
      </c>
      <c r="E276" s="2" t="s">
        <v>2759</v>
      </c>
      <c r="F276" s="2"/>
      <c r="G276" s="2" t="s">
        <v>556</v>
      </c>
      <c r="H276" s="2" t="s">
        <v>536</v>
      </c>
      <c r="I276" s="2" t="s">
        <v>3117</v>
      </c>
      <c r="J276" s="2" t="s">
        <v>3191</v>
      </c>
      <c r="K276" s="2" t="s">
        <v>1984</v>
      </c>
      <c r="L276" s="2" t="s">
        <v>41</v>
      </c>
      <c r="M276" s="7" t="s">
        <v>905</v>
      </c>
      <c r="N276" s="2"/>
      <c r="O276" s="2"/>
      <c r="P276" s="2" t="s">
        <v>3170</v>
      </c>
      <c r="Q276" s="2" t="s">
        <v>3175</v>
      </c>
      <c r="R276" s="2" t="s">
        <v>3161</v>
      </c>
      <c r="S276" s="2" t="s">
        <v>2346</v>
      </c>
      <c r="T276" s="2" t="s">
        <v>2367</v>
      </c>
      <c r="U276" s="2" t="s">
        <v>557</v>
      </c>
      <c r="V276" s="2" t="s">
        <v>2450</v>
      </c>
      <c r="W276" s="2"/>
      <c r="Y276" t="str">
        <f>PROPER(Table1[[#This Row],[Industry]])</f>
        <v>Фармацевтика</v>
      </c>
      <c r="Z276" t="str">
        <f>PROPER(Table1[[#This Row],[Insole]])</f>
        <v>Текстил,Сменяема Стелка, Масажираща Стелка</v>
      </c>
    </row>
    <row r="277" spans="1:26" ht="12.75" customHeight="1" x14ac:dyDescent="0.2">
      <c r="A277" s="2" t="s">
        <v>1403</v>
      </c>
      <c r="B277" s="2" t="s">
        <v>1404</v>
      </c>
      <c r="C277" s="2" t="s">
        <v>1405</v>
      </c>
      <c r="D277" s="2" t="s">
        <v>2152</v>
      </c>
      <c r="E277" s="2" t="s">
        <v>2920</v>
      </c>
      <c r="F277" s="2"/>
      <c r="G277" s="2" t="s">
        <v>556</v>
      </c>
      <c r="H277" s="2" t="s">
        <v>536</v>
      </c>
      <c r="I277" s="2" t="s">
        <v>3117</v>
      </c>
      <c r="J277" s="2" t="s">
        <v>3191</v>
      </c>
      <c r="K277" s="2" t="s">
        <v>1984</v>
      </c>
      <c r="L277" s="2" t="s">
        <v>41</v>
      </c>
      <c r="M277" s="7" t="s">
        <v>905</v>
      </c>
      <c r="N277" s="2"/>
      <c r="O277" s="2"/>
      <c r="P277" s="2" t="s">
        <v>3170</v>
      </c>
      <c r="Q277" s="2" t="s">
        <v>3173</v>
      </c>
      <c r="R277" s="2" t="s">
        <v>3161</v>
      </c>
      <c r="S277" s="2" t="s">
        <v>2346</v>
      </c>
      <c r="T277" s="2" t="s">
        <v>2368</v>
      </c>
      <c r="U277" s="2" t="s">
        <v>557</v>
      </c>
      <c r="V277" s="2" t="s">
        <v>2457</v>
      </c>
      <c r="W277" s="2"/>
      <c r="Y277" t="str">
        <f>PROPER(Table1[[#This Row],[Industry]])</f>
        <v>Фармацевтика</v>
      </c>
      <c r="Z277" t="str">
        <f>PROPER(Table1[[#This Row],[Insole]])</f>
        <v>Текстил,Сменяема Стелка, Масажираща Стелка</v>
      </c>
    </row>
    <row r="278" spans="1:26" ht="12.75" customHeight="1" x14ac:dyDescent="0.2">
      <c r="A278" s="2" t="s">
        <v>1406</v>
      </c>
      <c r="B278" s="2" t="s">
        <v>1407</v>
      </c>
      <c r="C278" s="2" t="s">
        <v>1408</v>
      </c>
      <c r="D278" s="2" t="s">
        <v>2190</v>
      </c>
      <c r="E278" s="2" t="s">
        <v>2921</v>
      </c>
      <c r="F278" s="2"/>
      <c r="G278" s="2" t="s">
        <v>556</v>
      </c>
      <c r="H278" s="2" t="s">
        <v>536</v>
      </c>
      <c r="I278" s="2" t="s">
        <v>3117</v>
      </c>
      <c r="J278" s="2" t="s">
        <v>3191</v>
      </c>
      <c r="K278" s="2" t="s">
        <v>1787</v>
      </c>
      <c r="L278" s="2" t="s">
        <v>41</v>
      </c>
      <c r="M278" s="7" t="s">
        <v>905</v>
      </c>
      <c r="N278" s="2"/>
      <c r="O278" s="2"/>
      <c r="P278" s="2" t="s">
        <v>3170</v>
      </c>
      <c r="Q278" s="2" t="s">
        <v>3173</v>
      </c>
      <c r="R278" s="2" t="s">
        <v>3161</v>
      </c>
      <c r="S278" s="2" t="s">
        <v>2346</v>
      </c>
      <c r="T278" s="2" t="s">
        <v>2368</v>
      </c>
      <c r="U278" s="2" t="s">
        <v>557</v>
      </c>
      <c r="V278" s="2" t="s">
        <v>2457</v>
      </c>
      <c r="W278" s="2"/>
      <c r="Y278" t="str">
        <f>PROPER(Table1[[#This Row],[Industry]])</f>
        <v>Фармацевтика</v>
      </c>
      <c r="Z278" t="str">
        <f>PROPER(Table1[[#This Row],[Insole]])</f>
        <v>Текстил,Сменяема Стелка, Масажираща Стелка</v>
      </c>
    </row>
    <row r="279" spans="1:26" ht="12.75" customHeight="1" x14ac:dyDescent="0.2">
      <c r="A279" s="2" t="s">
        <v>1400</v>
      </c>
      <c r="B279" s="2" t="s">
        <v>1401</v>
      </c>
      <c r="C279" s="2" t="s">
        <v>1402</v>
      </c>
      <c r="D279" s="2" t="s">
        <v>1947</v>
      </c>
      <c r="E279" s="2" t="s">
        <v>2919</v>
      </c>
      <c r="F279" s="2"/>
      <c r="G279" s="2" t="s">
        <v>556</v>
      </c>
      <c r="H279" s="2" t="s">
        <v>536</v>
      </c>
      <c r="I279" s="2" t="s">
        <v>3107</v>
      </c>
      <c r="J279" s="2" t="s">
        <v>3192</v>
      </c>
      <c r="K279" s="2" t="s">
        <v>1787</v>
      </c>
      <c r="L279" s="2" t="s">
        <v>41</v>
      </c>
      <c r="M279" s="7" t="s">
        <v>900</v>
      </c>
      <c r="N279" s="2"/>
      <c r="O279" s="2"/>
      <c r="P279" s="2" t="s">
        <v>3174</v>
      </c>
      <c r="Q279" s="2" t="s">
        <v>3173</v>
      </c>
      <c r="R279" s="2" t="s">
        <v>3161</v>
      </c>
      <c r="S279" s="2" t="s">
        <v>2346</v>
      </c>
      <c r="T279" s="2" t="s">
        <v>2367</v>
      </c>
      <c r="U279" s="2" t="s">
        <v>901</v>
      </c>
      <c r="V279" s="2" t="s">
        <v>2453</v>
      </c>
      <c r="W279" s="2"/>
      <c r="Y279" t="str">
        <f>PROPER(Table1[[#This Row],[Industry]])</f>
        <v>Болничен Персонал, Фармацевтика</v>
      </c>
      <c r="Z279" t="str">
        <f>PROPER(Table1[[#This Row],[Insole]])</f>
        <v>Текстил,Сменяема Стелка, Масажираща Стелка</v>
      </c>
    </row>
    <row r="280" spans="1:26" ht="12.75" customHeight="1" x14ac:dyDescent="0.2">
      <c r="A280" s="2" t="s">
        <v>897</v>
      </c>
      <c r="B280" s="2" t="s">
        <v>898</v>
      </c>
      <c r="C280" s="2" t="s">
        <v>899</v>
      </c>
      <c r="D280" s="2" t="s">
        <v>2026</v>
      </c>
      <c r="E280" s="2" t="s">
        <v>2758</v>
      </c>
      <c r="F280" s="2"/>
      <c r="G280" s="2" t="s">
        <v>556</v>
      </c>
      <c r="H280" s="2" t="s">
        <v>536</v>
      </c>
      <c r="I280" s="2" t="s">
        <v>3107</v>
      </c>
      <c r="J280" s="2" t="s">
        <v>3192</v>
      </c>
      <c r="K280" s="2" t="s">
        <v>1984</v>
      </c>
      <c r="L280" s="2" t="s">
        <v>41</v>
      </c>
      <c r="M280" s="7" t="s">
        <v>900</v>
      </c>
      <c r="N280" s="2"/>
      <c r="O280" s="2"/>
      <c r="P280" s="2" t="s">
        <v>3170</v>
      </c>
      <c r="Q280" s="2" t="s">
        <v>3173</v>
      </c>
      <c r="R280" s="2" t="s">
        <v>3161</v>
      </c>
      <c r="S280" s="2" t="s">
        <v>2346</v>
      </c>
      <c r="T280" s="2" t="s">
        <v>2367</v>
      </c>
      <c r="U280" s="2" t="s">
        <v>901</v>
      </c>
      <c r="V280" s="2" t="s">
        <v>2449</v>
      </c>
      <c r="W280" s="2"/>
      <c r="Y280" t="str">
        <f>PROPER(Table1[[#This Row],[Industry]])</f>
        <v>Болничен Персонал, Фармацевтика</v>
      </c>
      <c r="Z280" t="str">
        <f>PROPER(Table1[[#This Row],[Insole]])</f>
        <v>Текстил,Сменяема Стелка, Масажираща Стелка</v>
      </c>
    </row>
    <row r="281" spans="1:26" ht="12.75" customHeight="1" x14ac:dyDescent="0.2">
      <c r="A281" s="2" t="s">
        <v>561</v>
      </c>
      <c r="B281" s="2" t="s">
        <v>562</v>
      </c>
      <c r="C281" s="2" t="s">
        <v>563</v>
      </c>
      <c r="D281" s="2" t="s">
        <v>2130</v>
      </c>
      <c r="E281" s="2" t="s">
        <v>2657</v>
      </c>
      <c r="F281" s="2"/>
      <c r="G281" s="2" t="s">
        <v>556</v>
      </c>
      <c r="H281" s="2" t="s">
        <v>536</v>
      </c>
      <c r="I281" s="2" t="s">
        <v>3117</v>
      </c>
      <c r="J281" s="2" t="s">
        <v>3191</v>
      </c>
      <c r="K281" s="2" t="s">
        <v>1984</v>
      </c>
      <c r="L281" s="2" t="s">
        <v>3154</v>
      </c>
      <c r="M281" s="7" t="s">
        <v>3195</v>
      </c>
      <c r="N281" s="2"/>
      <c r="O281" s="2"/>
      <c r="P281" s="2" t="s">
        <v>3170</v>
      </c>
      <c r="Q281" s="2" t="s">
        <v>3175</v>
      </c>
      <c r="R281" s="2" t="s">
        <v>3164</v>
      </c>
      <c r="S281" s="2" t="s">
        <v>2346</v>
      </c>
      <c r="T281" s="2" t="s">
        <v>2368</v>
      </c>
      <c r="U281" s="2" t="s">
        <v>557</v>
      </c>
      <c r="V281" s="2" t="s">
        <v>2428</v>
      </c>
      <c r="W281" s="2"/>
      <c r="Y281" t="str">
        <f>PROPER(Table1[[#This Row],[Industry]])</f>
        <v>Фармацевтика</v>
      </c>
      <c r="Z281" t="str">
        <f>PROPER(Table1[[#This Row],[Insole]])</f>
        <v>Текстил, Интегрирана Стелка, Масажираща Стелка</v>
      </c>
    </row>
    <row r="282" spans="1:26" ht="12.75" customHeight="1" x14ac:dyDescent="0.2">
      <c r="A282" s="2" t="s">
        <v>558</v>
      </c>
      <c r="B282" s="2" t="s">
        <v>559</v>
      </c>
      <c r="C282" s="2" t="s">
        <v>560</v>
      </c>
      <c r="D282" s="2" t="s">
        <v>2176</v>
      </c>
      <c r="E282" s="2" t="s">
        <v>2656</v>
      </c>
      <c r="F282" s="2"/>
      <c r="G282" s="2" t="s">
        <v>556</v>
      </c>
      <c r="H282" s="2" t="s">
        <v>536</v>
      </c>
      <c r="I282" s="2" t="s">
        <v>3107</v>
      </c>
      <c r="J282" s="2" t="s">
        <v>3191</v>
      </c>
      <c r="K282" s="2" t="s">
        <v>1787</v>
      </c>
      <c r="L282" s="2" t="s">
        <v>3154</v>
      </c>
      <c r="M282" s="7" t="s">
        <v>3195</v>
      </c>
      <c r="N282" s="2"/>
      <c r="O282" s="2"/>
      <c r="P282" s="2" t="s">
        <v>3170</v>
      </c>
      <c r="Q282" s="2" t="s">
        <v>3173</v>
      </c>
      <c r="R282" s="2" t="s">
        <v>3164</v>
      </c>
      <c r="S282" s="2" t="s">
        <v>2346</v>
      </c>
      <c r="T282" s="2" t="s">
        <v>2368</v>
      </c>
      <c r="U282" s="2" t="s">
        <v>557</v>
      </c>
      <c r="V282" s="2" t="s">
        <v>2428</v>
      </c>
      <c r="W282" s="2"/>
      <c r="Y282" t="str">
        <f>PROPER(Table1[[#This Row],[Industry]])</f>
        <v>Болничен Персонал, Фармацевтика</v>
      </c>
      <c r="Z282" t="str">
        <f>PROPER(Table1[[#This Row],[Insole]])</f>
        <v>Текстил, Интегрирана Стелка, Масажираща Стелка</v>
      </c>
    </row>
    <row r="283" spans="1:26" ht="12.75" customHeight="1" x14ac:dyDescent="0.2">
      <c r="A283" s="2" t="s">
        <v>553</v>
      </c>
      <c r="B283" s="2" t="s">
        <v>554</v>
      </c>
      <c r="C283" s="2" t="s">
        <v>555</v>
      </c>
      <c r="D283" s="2" t="s">
        <v>1991</v>
      </c>
      <c r="E283" s="2" t="s">
        <v>2655</v>
      </c>
      <c r="F283" s="2"/>
      <c r="G283" s="2" t="s">
        <v>556</v>
      </c>
      <c r="H283" s="2" t="s">
        <v>536</v>
      </c>
      <c r="I283" s="2" t="s">
        <v>3117</v>
      </c>
      <c r="J283" s="2" t="s">
        <v>3192</v>
      </c>
      <c r="K283" s="2" t="s">
        <v>1984</v>
      </c>
      <c r="L283" s="2" t="s">
        <v>3154</v>
      </c>
      <c r="M283" s="7" t="s">
        <v>3195</v>
      </c>
      <c r="N283" s="2"/>
      <c r="O283" s="2"/>
      <c r="P283" s="2" t="s">
        <v>3170</v>
      </c>
      <c r="Q283" s="2" t="s">
        <v>3175</v>
      </c>
      <c r="R283" s="2" t="s">
        <v>3164</v>
      </c>
      <c r="S283" s="2" t="s">
        <v>2346</v>
      </c>
      <c r="T283" s="2" t="s">
        <v>2361</v>
      </c>
      <c r="U283" s="2" t="s">
        <v>557</v>
      </c>
      <c r="V283" s="2" t="s">
        <v>2427</v>
      </c>
      <c r="W283" s="2"/>
      <c r="Y283" t="str">
        <f>PROPER(Table1[[#This Row],[Industry]])</f>
        <v>Фармацевтика</v>
      </c>
      <c r="Z283" t="str">
        <f>PROPER(Table1[[#This Row],[Insole]])</f>
        <v>Текстил, Интегрирана Стелка, Масажираща Стелка</v>
      </c>
    </row>
    <row r="284" spans="1:26" ht="12.75" customHeight="1" x14ac:dyDescent="0.2">
      <c r="A284" s="2" t="s">
        <v>843</v>
      </c>
      <c r="B284" s="2" t="s">
        <v>844</v>
      </c>
      <c r="C284" s="2" t="s">
        <v>845</v>
      </c>
      <c r="D284" s="2" t="s">
        <v>1894</v>
      </c>
      <c r="E284" s="2" t="s">
        <v>2741</v>
      </c>
      <c r="F284" s="2"/>
      <c r="G284" s="2" t="s">
        <v>556</v>
      </c>
      <c r="H284" s="2" t="s">
        <v>536</v>
      </c>
      <c r="I284" s="2" t="s">
        <v>3117</v>
      </c>
      <c r="J284" s="2" t="s">
        <v>3192</v>
      </c>
      <c r="K284" s="2" t="s">
        <v>1787</v>
      </c>
      <c r="L284" s="2" t="s">
        <v>3154</v>
      </c>
      <c r="M284" s="7" t="s">
        <v>3195</v>
      </c>
      <c r="N284" s="2"/>
      <c r="O284" s="2"/>
      <c r="P284" s="2" t="s">
        <v>3170</v>
      </c>
      <c r="Q284" s="2" t="s">
        <v>3175</v>
      </c>
      <c r="R284" s="2" t="s">
        <v>3164</v>
      </c>
      <c r="S284" s="2" t="s">
        <v>2346</v>
      </c>
      <c r="T284" s="2" t="s">
        <v>2367</v>
      </c>
      <c r="U284" s="2" t="s">
        <v>557</v>
      </c>
      <c r="V284" s="2" t="s">
        <v>2427</v>
      </c>
      <c r="W284" s="2"/>
      <c r="Y284" t="str">
        <f>PROPER(Table1[[#This Row],[Industry]])</f>
        <v>Фармацевтика</v>
      </c>
      <c r="Z284" t="str">
        <f>PROPER(Table1[[#This Row],[Insole]])</f>
        <v>Текстил, Интегрирана Стелка, Масажираща Стелка</v>
      </c>
    </row>
    <row r="285" spans="1:26" ht="12.75" customHeight="1" x14ac:dyDescent="0.2">
      <c r="A285" s="2" t="s">
        <v>1393</v>
      </c>
      <c r="B285" s="2" t="s">
        <v>1394</v>
      </c>
      <c r="C285" s="2" t="s">
        <v>1395</v>
      </c>
      <c r="D285" s="2" t="s">
        <v>2188</v>
      </c>
      <c r="E285" s="2" t="s">
        <v>2917</v>
      </c>
      <c r="F285" s="2"/>
      <c r="G285" s="2" t="s">
        <v>1396</v>
      </c>
      <c r="H285" s="2" t="s">
        <v>536</v>
      </c>
      <c r="I285" s="2" t="s">
        <v>3117</v>
      </c>
      <c r="J285" s="2" t="s">
        <v>3191</v>
      </c>
      <c r="K285" s="2" t="s">
        <v>1787</v>
      </c>
      <c r="L285" s="2" t="s">
        <v>41</v>
      </c>
      <c r="M285" s="7" t="s">
        <v>900</v>
      </c>
      <c r="N285" s="2"/>
      <c r="O285" s="2"/>
      <c r="P285" s="2" t="s">
        <v>3170</v>
      </c>
      <c r="Q285" s="2" t="s">
        <v>3173</v>
      </c>
      <c r="R285" s="2" t="s">
        <v>3162</v>
      </c>
      <c r="S285" s="2" t="s">
        <v>2346</v>
      </c>
      <c r="T285" s="2" t="s">
        <v>2367</v>
      </c>
      <c r="U285" s="2" t="s">
        <v>901</v>
      </c>
      <c r="V285" s="2" t="s">
        <v>2437</v>
      </c>
      <c r="W285" s="2"/>
      <c r="Y285" t="str">
        <f>PROPER(Table1[[#This Row],[Industry]])</f>
        <v>Фармацевтика</v>
      </c>
      <c r="Z285" t="str">
        <f>PROPER(Table1[[#This Row],[Insole]])</f>
        <v>Текстил</v>
      </c>
    </row>
    <row r="286" spans="1:26" ht="12.75" customHeight="1" x14ac:dyDescent="0.2">
      <c r="A286" s="2" t="s">
        <v>1397</v>
      </c>
      <c r="B286" s="2" t="s">
        <v>1398</v>
      </c>
      <c r="C286" s="2" t="s">
        <v>1399</v>
      </c>
      <c r="D286" s="2" t="s">
        <v>2189</v>
      </c>
      <c r="E286" s="2" t="s">
        <v>2918</v>
      </c>
      <c r="F286" s="2"/>
      <c r="G286" s="2" t="s">
        <v>1396</v>
      </c>
      <c r="H286" s="2" t="s">
        <v>536</v>
      </c>
      <c r="I286" s="2" t="s">
        <v>3117</v>
      </c>
      <c r="J286" s="2" t="s">
        <v>3191</v>
      </c>
      <c r="K286" s="2" t="s">
        <v>1787</v>
      </c>
      <c r="L286" s="2" t="s">
        <v>41</v>
      </c>
      <c r="M286" s="7" t="s">
        <v>900</v>
      </c>
      <c r="N286" s="2"/>
      <c r="O286" s="2"/>
      <c r="P286" s="2" t="s">
        <v>3170</v>
      </c>
      <c r="Q286" s="2" t="s">
        <v>3175</v>
      </c>
      <c r="R286" s="2" t="s">
        <v>3162</v>
      </c>
      <c r="S286" s="2" t="s">
        <v>2346</v>
      </c>
      <c r="T286" s="2" t="s">
        <v>2368</v>
      </c>
      <c r="U286" s="2" t="s">
        <v>901</v>
      </c>
      <c r="V286" s="2" t="s">
        <v>2462</v>
      </c>
      <c r="W286" s="2"/>
      <c r="Y286" t="str">
        <f>PROPER(Table1[[#This Row],[Industry]])</f>
        <v>Фармацевтика</v>
      </c>
      <c r="Z286" t="str">
        <f>PROPER(Table1[[#This Row],[Insole]])</f>
        <v>Текстил</v>
      </c>
    </row>
    <row r="287" spans="1:26" ht="12.75" customHeight="1" x14ac:dyDescent="0.2">
      <c r="A287" s="2" t="s">
        <v>240</v>
      </c>
      <c r="B287" s="2" t="s">
        <v>241</v>
      </c>
      <c r="C287" s="2" t="s">
        <v>242</v>
      </c>
      <c r="D287" s="2" t="s">
        <v>1819</v>
      </c>
      <c r="E287" s="2" t="s">
        <v>2565</v>
      </c>
      <c r="F287" s="6" t="s">
        <v>3054</v>
      </c>
      <c r="G287" s="2" t="s">
        <v>243</v>
      </c>
      <c r="H287" s="2" t="s">
        <v>35</v>
      </c>
      <c r="I287" s="2" t="s">
        <v>3132</v>
      </c>
      <c r="J287" s="2" t="s">
        <v>1783</v>
      </c>
      <c r="K287" s="2" t="s">
        <v>1787</v>
      </c>
      <c r="L287" s="2" t="s">
        <v>95</v>
      </c>
      <c r="M287" s="7" t="s">
        <v>244</v>
      </c>
      <c r="N287" s="2" t="s">
        <v>3231</v>
      </c>
      <c r="O287" s="3" t="s">
        <v>3226</v>
      </c>
      <c r="P287" s="2" t="s">
        <v>3170</v>
      </c>
      <c r="Q287" s="2" t="s">
        <v>3178</v>
      </c>
      <c r="R287" s="2" t="s">
        <v>3155</v>
      </c>
      <c r="S287" s="2" t="s">
        <v>3092</v>
      </c>
      <c r="T287" s="2" t="s">
        <v>2361</v>
      </c>
      <c r="U287" s="2" t="s">
        <v>118</v>
      </c>
      <c r="V287" s="2" t="s">
        <v>2476</v>
      </c>
      <c r="W287" s="2" t="s">
        <v>208</v>
      </c>
      <c r="Y287" t="str">
        <f>PROPER(Table1[[#This Row],[Industry]])</f>
        <v>Пожарникари И Спасители</v>
      </c>
      <c r="Z287" t="str">
        <f>PROPER(Table1[[#This Row],[Insole]])</f>
        <v>Текстил,Сменяема Стелка</v>
      </c>
    </row>
    <row r="288" spans="1:26" ht="12.75" customHeight="1" x14ac:dyDescent="0.2">
      <c r="A288" s="2" t="s">
        <v>245</v>
      </c>
      <c r="B288" s="2" t="s">
        <v>246</v>
      </c>
      <c r="C288" s="2" t="s">
        <v>247</v>
      </c>
      <c r="D288" s="2" t="s">
        <v>1820</v>
      </c>
      <c r="E288" s="2" t="s">
        <v>2566</v>
      </c>
      <c r="F288" s="6" t="s">
        <v>3054</v>
      </c>
      <c r="G288" s="2" t="s">
        <v>243</v>
      </c>
      <c r="H288" s="2" t="s">
        <v>35</v>
      </c>
      <c r="I288" s="2" t="s">
        <v>3132</v>
      </c>
      <c r="J288" s="2" t="s">
        <v>1783</v>
      </c>
      <c r="K288" s="2" t="s">
        <v>1787</v>
      </c>
      <c r="L288" s="2" t="s">
        <v>95</v>
      </c>
      <c r="M288" s="7" t="s">
        <v>244</v>
      </c>
      <c r="N288" s="2" t="s">
        <v>3231</v>
      </c>
      <c r="O288" s="3" t="s">
        <v>3226</v>
      </c>
      <c r="P288" s="2" t="s">
        <v>3170</v>
      </c>
      <c r="Q288" s="2" t="s">
        <v>3162</v>
      </c>
      <c r="R288" s="2" t="s">
        <v>3155</v>
      </c>
      <c r="S288" s="2" t="s">
        <v>3092</v>
      </c>
      <c r="T288" s="2" t="s">
        <v>2357</v>
      </c>
      <c r="U288" s="2" t="s">
        <v>118</v>
      </c>
      <c r="V288" s="2" t="s">
        <v>2384</v>
      </c>
      <c r="W288" s="2" t="s">
        <v>208</v>
      </c>
      <c r="Y288" t="str">
        <f>PROPER(Table1[[#This Row],[Industry]])</f>
        <v>Пожарникари И Спасители</v>
      </c>
      <c r="Z288" t="str">
        <f>PROPER(Table1[[#This Row],[Insole]])</f>
        <v>Текстил,Сменяема Стелка</v>
      </c>
    </row>
    <row r="289" spans="1:26" ht="12.75" customHeight="1" x14ac:dyDescent="0.2">
      <c r="A289" s="2" t="s">
        <v>131</v>
      </c>
      <c r="B289" s="2" t="s">
        <v>132</v>
      </c>
      <c r="C289" s="2" t="s">
        <v>133</v>
      </c>
      <c r="D289" s="2" t="s">
        <v>2242</v>
      </c>
      <c r="E289" s="2" t="s">
        <v>2539</v>
      </c>
      <c r="F289" s="6" t="s">
        <v>3046</v>
      </c>
      <c r="G289" s="2" t="s">
        <v>129</v>
      </c>
      <c r="H289" s="2" t="s">
        <v>35</v>
      </c>
      <c r="I289" s="2" t="s">
        <v>3125</v>
      </c>
      <c r="J289" s="2" t="s">
        <v>3190</v>
      </c>
      <c r="K289" s="2" t="s">
        <v>2241</v>
      </c>
      <c r="L289" s="2" t="s">
        <v>95</v>
      </c>
      <c r="M289" s="7" t="s">
        <v>130</v>
      </c>
      <c r="N289" s="2" t="s">
        <v>3308</v>
      </c>
      <c r="O289" s="3" t="s">
        <v>3309</v>
      </c>
      <c r="P289" s="2" t="s">
        <v>3174</v>
      </c>
      <c r="Q289" s="2" t="s">
        <v>3168</v>
      </c>
      <c r="R289" s="2" t="s">
        <v>3155</v>
      </c>
      <c r="S289" s="2" t="s">
        <v>3092</v>
      </c>
      <c r="T289" s="2" t="s">
        <v>2355</v>
      </c>
      <c r="U289" s="2" t="s">
        <v>118</v>
      </c>
      <c r="V289" s="2" t="s">
        <v>2387</v>
      </c>
      <c r="W289" s="2" t="s">
        <v>119</v>
      </c>
      <c r="Y289" t="str">
        <f>PROPER(Table1[[#This Row],[Industry]])</f>
        <v>Електронна Индустрия, Лека Индустрия, Транспорт / Склад И Логистика</v>
      </c>
      <c r="Z289" t="str">
        <f>PROPER(Table1[[#This Row],[Insole]])</f>
        <v>Текстил,Сменяема Стелка</v>
      </c>
    </row>
    <row r="290" spans="1:26" ht="12.75" customHeight="1" x14ac:dyDescent="0.2">
      <c r="A290" s="2" t="s">
        <v>300</v>
      </c>
      <c r="B290" s="2" t="s">
        <v>301</v>
      </c>
      <c r="C290" s="2" t="s">
        <v>302</v>
      </c>
      <c r="D290" s="2" t="s">
        <v>1828</v>
      </c>
      <c r="E290" s="2" t="s">
        <v>2584</v>
      </c>
      <c r="F290" s="6" t="s">
        <v>3046</v>
      </c>
      <c r="G290" s="2" t="s">
        <v>129</v>
      </c>
      <c r="H290" s="2" t="s">
        <v>35</v>
      </c>
      <c r="I290" s="2" t="s">
        <v>3125</v>
      </c>
      <c r="J290" s="2" t="s">
        <v>3190</v>
      </c>
      <c r="K290" s="2" t="s">
        <v>1787</v>
      </c>
      <c r="L290" s="2" t="s">
        <v>95</v>
      </c>
      <c r="M290" s="7" t="s">
        <v>130</v>
      </c>
      <c r="N290" s="2" t="s">
        <v>3308</v>
      </c>
      <c r="O290" s="3" t="s">
        <v>3309</v>
      </c>
      <c r="P290" s="2" t="s">
        <v>3174</v>
      </c>
      <c r="Q290" s="2" t="s">
        <v>3168</v>
      </c>
      <c r="R290" s="2" t="s">
        <v>3155</v>
      </c>
      <c r="S290" s="2" t="s">
        <v>3092</v>
      </c>
      <c r="T290" s="2" t="s">
        <v>2355</v>
      </c>
      <c r="U290" s="2" t="s">
        <v>118</v>
      </c>
      <c r="V290" s="2" t="s">
        <v>2387</v>
      </c>
      <c r="W290" s="2" t="s">
        <v>119</v>
      </c>
      <c r="Y290" t="str">
        <f>PROPER(Table1[[#This Row],[Industry]])</f>
        <v>Електронна Индустрия, Лека Индустрия, Транспорт / Склад И Логистика</v>
      </c>
      <c r="Z290" t="str">
        <f>PROPER(Table1[[#This Row],[Insole]])</f>
        <v>Текстил,Сменяема Стелка</v>
      </c>
    </row>
    <row r="291" spans="1:26" ht="12.75" customHeight="1" x14ac:dyDescent="0.2">
      <c r="A291" s="2" t="s">
        <v>303</v>
      </c>
      <c r="B291" s="2" t="s">
        <v>304</v>
      </c>
      <c r="C291" s="2" t="s">
        <v>305</v>
      </c>
      <c r="D291" s="2" t="s">
        <v>1829</v>
      </c>
      <c r="E291" s="2" t="s">
        <v>2585</v>
      </c>
      <c r="F291" s="6" t="s">
        <v>3046</v>
      </c>
      <c r="G291" s="2" t="s">
        <v>129</v>
      </c>
      <c r="H291" s="2" t="s">
        <v>35</v>
      </c>
      <c r="I291" s="2" t="s">
        <v>3125</v>
      </c>
      <c r="J291" s="2" t="s">
        <v>1783</v>
      </c>
      <c r="K291" s="2" t="s">
        <v>1787</v>
      </c>
      <c r="L291" s="2" t="s">
        <v>95</v>
      </c>
      <c r="M291" s="7" t="s">
        <v>130</v>
      </c>
      <c r="N291" s="2" t="s">
        <v>3310</v>
      </c>
      <c r="O291" s="3" t="s">
        <v>3312</v>
      </c>
      <c r="P291" s="2" t="s">
        <v>3174</v>
      </c>
      <c r="Q291" s="2" t="s">
        <v>3168</v>
      </c>
      <c r="R291" s="2" t="s">
        <v>3155</v>
      </c>
      <c r="S291" s="2" t="s">
        <v>3092</v>
      </c>
      <c r="T291" s="2" t="s">
        <v>2355</v>
      </c>
      <c r="U291" s="2" t="s">
        <v>118</v>
      </c>
      <c r="V291" s="2" t="s">
        <v>2385</v>
      </c>
      <c r="W291" s="2" t="s">
        <v>119</v>
      </c>
      <c r="Y291" t="str">
        <f>PROPER(Table1[[#This Row],[Industry]])</f>
        <v>Електронна Индустрия, Лека Индустрия, Транспорт / Склад И Логистика</v>
      </c>
      <c r="Z291" t="str">
        <f>PROPER(Table1[[#This Row],[Insole]])</f>
        <v>Текстил,Сменяема Стелка</v>
      </c>
    </row>
    <row r="292" spans="1:26" ht="12.75" customHeight="1" x14ac:dyDescent="0.2">
      <c r="A292" s="2" t="s">
        <v>134</v>
      </c>
      <c r="B292" s="2" t="s">
        <v>135</v>
      </c>
      <c r="C292" s="2" t="s">
        <v>136</v>
      </c>
      <c r="D292" s="2" t="s">
        <v>2243</v>
      </c>
      <c r="E292" s="2" t="s">
        <v>2540</v>
      </c>
      <c r="F292" s="6" t="s">
        <v>3046</v>
      </c>
      <c r="G292" s="2" t="s">
        <v>129</v>
      </c>
      <c r="H292" s="2" t="s">
        <v>35</v>
      </c>
      <c r="I292" s="2" t="s">
        <v>3125</v>
      </c>
      <c r="J292" s="2" t="s">
        <v>1783</v>
      </c>
      <c r="K292" s="2" t="s">
        <v>2241</v>
      </c>
      <c r="L292" s="2" t="s">
        <v>95</v>
      </c>
      <c r="M292" s="7" t="s">
        <v>130</v>
      </c>
      <c r="N292" s="2" t="s">
        <v>3310</v>
      </c>
      <c r="O292" s="3" t="s">
        <v>3311</v>
      </c>
      <c r="P292" s="2" t="s">
        <v>3174</v>
      </c>
      <c r="Q292" s="2" t="s">
        <v>3168</v>
      </c>
      <c r="R292" s="2" t="s">
        <v>3155</v>
      </c>
      <c r="S292" s="2" t="s">
        <v>3092</v>
      </c>
      <c r="T292" s="2" t="s">
        <v>2355</v>
      </c>
      <c r="U292" s="2" t="s">
        <v>118</v>
      </c>
      <c r="V292" s="2" t="s">
        <v>2385</v>
      </c>
      <c r="W292" s="2" t="s">
        <v>119</v>
      </c>
      <c r="Y292" t="str">
        <f>PROPER(Table1[[#This Row],[Industry]])</f>
        <v>Електронна Индустрия, Лека Индустрия, Транспорт / Склад И Логистика</v>
      </c>
      <c r="Z292" t="str">
        <f>PROPER(Table1[[#This Row],[Insole]])</f>
        <v>Текстил,Сменяема Стелка</v>
      </c>
    </row>
    <row r="293" spans="1:26" ht="12.75" customHeight="1" x14ac:dyDescent="0.2">
      <c r="A293" s="2" t="s">
        <v>126</v>
      </c>
      <c r="B293" s="2" t="s">
        <v>127</v>
      </c>
      <c r="C293" s="2" t="s">
        <v>128</v>
      </c>
      <c r="D293" s="2" t="s">
        <v>2240</v>
      </c>
      <c r="E293" s="2" t="s">
        <v>2538</v>
      </c>
      <c r="F293" s="6" t="s">
        <v>3044</v>
      </c>
      <c r="G293" s="2" t="s">
        <v>129</v>
      </c>
      <c r="H293" s="2" t="s">
        <v>35</v>
      </c>
      <c r="I293" s="2" t="s">
        <v>3125</v>
      </c>
      <c r="J293" s="2" t="s">
        <v>3192</v>
      </c>
      <c r="K293" s="2" t="s">
        <v>2241</v>
      </c>
      <c r="L293" s="2" t="s">
        <v>95</v>
      </c>
      <c r="M293" s="7" t="s">
        <v>130</v>
      </c>
      <c r="N293" s="2" t="s">
        <v>3260</v>
      </c>
      <c r="O293" s="3" t="s">
        <v>3261</v>
      </c>
      <c r="P293" s="2" t="s">
        <v>3174</v>
      </c>
      <c r="Q293" s="2" t="s">
        <v>3168</v>
      </c>
      <c r="R293" s="2" t="s">
        <v>3155</v>
      </c>
      <c r="S293" s="2" t="s">
        <v>3092</v>
      </c>
      <c r="T293" s="2" t="s">
        <v>2355</v>
      </c>
      <c r="U293" s="2" t="s">
        <v>118</v>
      </c>
      <c r="V293" s="2" t="s">
        <v>2382</v>
      </c>
      <c r="W293" s="2" t="s">
        <v>119</v>
      </c>
      <c r="Y293" t="str">
        <f>PROPER(Table1[[#This Row],[Industry]])</f>
        <v>Електронна Индустрия, Лека Индустрия, Транспорт / Склад И Логистика</v>
      </c>
      <c r="Z293" t="str">
        <f>PROPER(Table1[[#This Row],[Insole]])</f>
        <v>Текстил,Сменяема Стелка</v>
      </c>
    </row>
    <row r="294" spans="1:26" ht="12.75" customHeight="1" x14ac:dyDescent="0.2">
      <c r="A294" s="2" t="s">
        <v>297</v>
      </c>
      <c r="B294" s="2" t="s">
        <v>298</v>
      </c>
      <c r="C294" s="2" t="s">
        <v>299</v>
      </c>
      <c r="D294" s="2" t="s">
        <v>1827</v>
      </c>
      <c r="E294" s="2" t="s">
        <v>2583</v>
      </c>
      <c r="F294" s="6" t="s">
        <v>3046</v>
      </c>
      <c r="G294" s="2" t="s">
        <v>129</v>
      </c>
      <c r="H294" s="2" t="s">
        <v>35</v>
      </c>
      <c r="I294" s="2" t="s">
        <v>3125</v>
      </c>
      <c r="J294" s="2" t="s">
        <v>3192</v>
      </c>
      <c r="K294" s="2" t="s">
        <v>1787</v>
      </c>
      <c r="L294" s="2" t="s">
        <v>95</v>
      </c>
      <c r="M294" s="7" t="s">
        <v>130</v>
      </c>
      <c r="N294" s="2" t="s">
        <v>3260</v>
      </c>
      <c r="O294" s="3" t="s">
        <v>3262</v>
      </c>
      <c r="P294" s="2" t="s">
        <v>3174</v>
      </c>
      <c r="Q294" s="2" t="s">
        <v>3168</v>
      </c>
      <c r="R294" s="2" t="s">
        <v>3155</v>
      </c>
      <c r="S294" s="2" t="s">
        <v>3092</v>
      </c>
      <c r="T294" s="2" t="s">
        <v>2355</v>
      </c>
      <c r="U294" s="2" t="s">
        <v>118</v>
      </c>
      <c r="V294" s="2" t="s">
        <v>2382</v>
      </c>
      <c r="W294" s="2" t="s">
        <v>119</v>
      </c>
      <c r="Y294" t="str">
        <f>PROPER(Table1[[#This Row],[Industry]])</f>
        <v>Електронна Индустрия, Лека Индустрия, Транспорт / Склад И Логистика</v>
      </c>
      <c r="Z294" t="str">
        <f>PROPER(Table1[[#This Row],[Insole]])</f>
        <v>Текстил,Сменяема Стелка</v>
      </c>
    </row>
    <row r="295" spans="1:26" ht="12.75" customHeight="1" x14ac:dyDescent="0.2">
      <c r="A295" s="2" t="s">
        <v>314</v>
      </c>
      <c r="B295" s="2" t="s">
        <v>315</v>
      </c>
      <c r="C295" s="2" t="s">
        <v>316</v>
      </c>
      <c r="D295" s="2" t="s">
        <v>1831</v>
      </c>
      <c r="E295" s="2" t="s">
        <v>2588</v>
      </c>
      <c r="F295" s="2"/>
      <c r="G295" s="2" t="s">
        <v>317</v>
      </c>
      <c r="H295" s="2" t="s">
        <v>53</v>
      </c>
      <c r="I295" s="2" t="s">
        <v>3148</v>
      </c>
      <c r="J295" s="2" t="s">
        <v>1783</v>
      </c>
      <c r="K295" s="2" t="s">
        <v>1787</v>
      </c>
      <c r="L295" s="2" t="s">
        <v>3193</v>
      </c>
      <c r="M295" s="7" t="s">
        <v>3193</v>
      </c>
      <c r="N295" s="2" t="s">
        <v>3200</v>
      </c>
      <c r="O295" s="2"/>
      <c r="P295" s="2" t="s">
        <v>3170</v>
      </c>
      <c r="Q295" s="2" t="s">
        <v>3174</v>
      </c>
      <c r="R295" s="2" t="s">
        <v>3162</v>
      </c>
      <c r="S295" s="2" t="s">
        <v>2316</v>
      </c>
      <c r="T295" s="2" t="s">
        <v>2356</v>
      </c>
      <c r="U295" s="2" t="s">
        <v>49</v>
      </c>
      <c r="V295" s="2" t="s">
        <v>2406</v>
      </c>
      <c r="W295" s="2"/>
      <c r="Y295" t="str">
        <f>PROPER(Table1[[#This Row],[Industry]])</f>
        <v>Пожарникари И Спасители, Тактически</v>
      </c>
      <c r="Z295" t="str">
        <f>PROPER(Table1[[#This Row],[Insole]])</f>
        <v>Текстил</v>
      </c>
    </row>
    <row r="296" spans="1:26" ht="12.75" customHeight="1" x14ac:dyDescent="0.2">
      <c r="A296" s="2" t="s">
        <v>1545</v>
      </c>
      <c r="B296" s="2" t="s">
        <v>1546</v>
      </c>
      <c r="C296" s="2" t="s">
        <v>1547</v>
      </c>
      <c r="D296" s="2" t="s">
        <v>1953</v>
      </c>
      <c r="E296" s="2" t="s">
        <v>2967</v>
      </c>
      <c r="F296" s="2"/>
      <c r="G296" s="2" t="s">
        <v>734</v>
      </c>
      <c r="H296" s="2" t="s">
        <v>536</v>
      </c>
      <c r="I296" s="2" t="s">
        <v>3116</v>
      </c>
      <c r="J296" s="2" t="s">
        <v>3190</v>
      </c>
      <c r="K296" s="2" t="s">
        <v>1787</v>
      </c>
      <c r="L296" s="2" t="s">
        <v>41</v>
      </c>
      <c r="M296" s="7" t="s">
        <v>1548</v>
      </c>
      <c r="N296" s="2"/>
      <c r="O296" s="2"/>
      <c r="P296" s="2" t="s">
        <v>3173</v>
      </c>
      <c r="Q296" s="2" t="s">
        <v>3175</v>
      </c>
      <c r="R296" s="2" t="s">
        <v>3159</v>
      </c>
      <c r="S296" s="2" t="s">
        <v>2341</v>
      </c>
      <c r="T296" s="2" t="s">
        <v>2368</v>
      </c>
      <c r="U296" s="2" t="s">
        <v>818</v>
      </c>
      <c r="V296" s="2" t="s">
        <v>2470</v>
      </c>
      <c r="W296" s="2"/>
      <c r="Y296" t="str">
        <f>PROPER(Table1[[#This Row],[Industry]])</f>
        <v>Хорека</v>
      </c>
      <c r="Z296" t="str">
        <f>PROPER(Table1[[#This Row],[Insole]])</f>
        <v>Текстил, Интегрирана Стелка</v>
      </c>
    </row>
    <row r="297" spans="1:26" ht="12.75" customHeight="1" x14ac:dyDescent="0.2">
      <c r="A297" s="2" t="s">
        <v>1549</v>
      </c>
      <c r="B297" s="2" t="s">
        <v>1550</v>
      </c>
      <c r="C297" s="2" t="s">
        <v>1551</v>
      </c>
      <c r="D297" s="2" t="s">
        <v>1954</v>
      </c>
      <c r="E297" s="2" t="s">
        <v>2968</v>
      </c>
      <c r="F297" s="2"/>
      <c r="G297" s="2" t="s">
        <v>734</v>
      </c>
      <c r="H297" s="2" t="s">
        <v>536</v>
      </c>
      <c r="I297" s="2" t="s">
        <v>3116</v>
      </c>
      <c r="J297" s="2" t="s">
        <v>3190</v>
      </c>
      <c r="K297" s="2" t="s">
        <v>1787</v>
      </c>
      <c r="L297" s="2" t="s">
        <v>41</v>
      </c>
      <c r="M297" s="7" t="s">
        <v>1548</v>
      </c>
      <c r="N297" s="2"/>
      <c r="O297" s="2"/>
      <c r="P297" s="2" t="s">
        <v>3173</v>
      </c>
      <c r="Q297" s="2" t="s">
        <v>3175</v>
      </c>
      <c r="R297" s="2" t="s">
        <v>3159</v>
      </c>
      <c r="S297" s="2" t="s">
        <v>2341</v>
      </c>
      <c r="T297" s="2" t="s">
        <v>2355</v>
      </c>
      <c r="U297" s="2" t="s">
        <v>818</v>
      </c>
      <c r="V297" s="2" t="s">
        <v>2470</v>
      </c>
      <c r="W297" s="2"/>
      <c r="Y297" t="str">
        <f>PROPER(Table1[[#This Row],[Industry]])</f>
        <v>Хорека</v>
      </c>
      <c r="Z297" t="str">
        <f>PROPER(Table1[[#This Row],[Insole]])</f>
        <v>Текстил, Интегрирана Стелка</v>
      </c>
    </row>
    <row r="298" spans="1:26" ht="12.75" customHeight="1" x14ac:dyDescent="0.2">
      <c r="A298" s="2" t="s">
        <v>736</v>
      </c>
      <c r="B298" s="2" t="s">
        <v>737</v>
      </c>
      <c r="C298" s="2" t="s">
        <v>738</v>
      </c>
      <c r="D298" s="2" t="s">
        <v>1883</v>
      </c>
      <c r="E298" s="2" t="s">
        <v>2708</v>
      </c>
      <c r="F298" s="2"/>
      <c r="G298" s="2" t="s">
        <v>734</v>
      </c>
      <c r="H298" s="2" t="s">
        <v>536</v>
      </c>
      <c r="I298" s="2" t="s">
        <v>3116</v>
      </c>
      <c r="J298" s="2" t="s">
        <v>3192</v>
      </c>
      <c r="K298" s="2" t="s">
        <v>1787</v>
      </c>
      <c r="L298" s="2" t="s">
        <v>41</v>
      </c>
      <c r="M298" s="7" t="s">
        <v>739</v>
      </c>
      <c r="N298" s="2"/>
      <c r="O298" s="2"/>
      <c r="P298" s="2" t="s">
        <v>3170</v>
      </c>
      <c r="Q298" s="2" t="s">
        <v>3173</v>
      </c>
      <c r="R298" s="2" t="s">
        <v>3159</v>
      </c>
      <c r="S298" s="2" t="s">
        <v>2353</v>
      </c>
      <c r="T298" s="2" t="s">
        <v>2361</v>
      </c>
      <c r="U298" s="2" t="s">
        <v>557</v>
      </c>
      <c r="V298" s="2" t="s">
        <v>2438</v>
      </c>
      <c r="W298" s="2"/>
      <c r="Y298" t="str">
        <f>PROPER(Table1[[#This Row],[Industry]])</f>
        <v>Хорека</v>
      </c>
      <c r="Z298" t="str">
        <f>PROPER(Table1[[#This Row],[Insole]])</f>
        <v>Текстил, Интегрирана Стелка</v>
      </c>
    </row>
    <row r="299" spans="1:26" ht="12.75" customHeight="1" x14ac:dyDescent="0.2">
      <c r="A299" s="2" t="s">
        <v>1038</v>
      </c>
      <c r="B299" s="2" t="s">
        <v>1039</v>
      </c>
      <c r="C299" s="2" t="s">
        <v>1040</v>
      </c>
      <c r="D299" s="2" t="s">
        <v>1906</v>
      </c>
      <c r="E299" s="2" t="s">
        <v>2805</v>
      </c>
      <c r="F299" s="2"/>
      <c r="G299" s="2" t="s">
        <v>734</v>
      </c>
      <c r="H299" s="2" t="s">
        <v>536</v>
      </c>
      <c r="I299" s="2" t="s">
        <v>3116</v>
      </c>
      <c r="J299" s="2" t="s">
        <v>3190</v>
      </c>
      <c r="K299" s="2" t="s">
        <v>1787</v>
      </c>
      <c r="L299" s="2" t="s">
        <v>3154</v>
      </c>
      <c r="M299" s="7" t="s">
        <v>3195</v>
      </c>
      <c r="N299" s="2"/>
      <c r="O299" s="2"/>
      <c r="P299" s="2" t="s">
        <v>3170</v>
      </c>
      <c r="Q299" s="2" t="s">
        <v>3162</v>
      </c>
      <c r="R299" s="2" t="s">
        <v>3159</v>
      </c>
      <c r="S299" s="2" t="s">
        <v>2353</v>
      </c>
      <c r="T299" s="2" t="s">
        <v>2368</v>
      </c>
      <c r="U299" s="2" t="s">
        <v>557</v>
      </c>
      <c r="V299" s="2" t="s">
        <v>2382</v>
      </c>
      <c r="W299" s="2"/>
      <c r="Y299" t="str">
        <f>PROPER(Table1[[#This Row],[Industry]])</f>
        <v>Хорека</v>
      </c>
      <c r="Z299" t="str">
        <f>PROPER(Table1[[#This Row],[Insole]])</f>
        <v>Текстил, Интегрирана Стелка</v>
      </c>
    </row>
    <row r="300" spans="1:26" ht="12.75" customHeight="1" x14ac:dyDescent="0.2">
      <c r="A300" s="2" t="s">
        <v>731</v>
      </c>
      <c r="B300" s="2" t="s">
        <v>732</v>
      </c>
      <c r="C300" s="2" t="s">
        <v>733</v>
      </c>
      <c r="D300" s="2" t="s">
        <v>1882</v>
      </c>
      <c r="E300" s="2" t="s">
        <v>2707</v>
      </c>
      <c r="F300" s="2"/>
      <c r="G300" s="2" t="s">
        <v>734</v>
      </c>
      <c r="H300" s="2" t="s">
        <v>536</v>
      </c>
      <c r="I300" s="2" t="s">
        <v>3116</v>
      </c>
      <c r="J300" s="2" t="s">
        <v>3192</v>
      </c>
      <c r="K300" s="2" t="s">
        <v>1787</v>
      </c>
      <c r="L300" s="2" t="s">
        <v>3154</v>
      </c>
      <c r="M300" s="7" t="s">
        <v>3195</v>
      </c>
      <c r="N300" s="2"/>
      <c r="O300" s="2"/>
      <c r="P300" s="2" t="s">
        <v>3170</v>
      </c>
      <c r="Q300" s="2" t="s">
        <v>3173</v>
      </c>
      <c r="R300" s="2" t="s">
        <v>3159</v>
      </c>
      <c r="S300" s="2" t="s">
        <v>2353</v>
      </c>
      <c r="T300" s="2" t="s">
        <v>2355</v>
      </c>
      <c r="U300" s="2" t="s">
        <v>735</v>
      </c>
      <c r="V300" s="2" t="s">
        <v>2437</v>
      </c>
      <c r="W300" s="2"/>
      <c r="Y300" t="str">
        <f>PROPER(Table1[[#This Row],[Industry]])</f>
        <v>Хорека</v>
      </c>
      <c r="Z300" t="str">
        <f>PROPER(Table1[[#This Row],[Insole]])</f>
        <v>Текстил, Интегрирана Стелка</v>
      </c>
    </row>
    <row r="301" spans="1:26" ht="12.75" customHeight="1" x14ac:dyDescent="0.2">
      <c r="A301" s="2" t="s">
        <v>740</v>
      </c>
      <c r="B301" s="2" t="s">
        <v>741</v>
      </c>
      <c r="C301" s="2" t="s">
        <v>742</v>
      </c>
      <c r="D301" s="2" t="s">
        <v>1884</v>
      </c>
      <c r="E301" s="2" t="s">
        <v>2709</v>
      </c>
      <c r="F301" s="2"/>
      <c r="G301" s="2" t="s">
        <v>734</v>
      </c>
      <c r="H301" s="2" t="s">
        <v>536</v>
      </c>
      <c r="I301" s="2" t="s">
        <v>3116</v>
      </c>
      <c r="J301" s="2" t="s">
        <v>3192</v>
      </c>
      <c r="K301" s="2" t="s">
        <v>1787</v>
      </c>
      <c r="L301" s="2" t="s">
        <v>3154</v>
      </c>
      <c r="M301" s="7" t="s">
        <v>3195</v>
      </c>
      <c r="N301" s="2"/>
      <c r="O301" s="2"/>
      <c r="P301" s="2" t="s">
        <v>3170</v>
      </c>
      <c r="Q301" s="2" t="s">
        <v>3175</v>
      </c>
      <c r="R301" s="2" t="s">
        <v>3164</v>
      </c>
      <c r="S301" s="2" t="s">
        <v>2353</v>
      </c>
      <c r="T301" s="2" t="s">
        <v>2355</v>
      </c>
      <c r="U301" s="2" t="s">
        <v>557</v>
      </c>
      <c r="V301" s="2" t="s">
        <v>2439</v>
      </c>
      <c r="W301" s="2"/>
      <c r="Y301" t="str">
        <f>PROPER(Table1[[#This Row],[Industry]])</f>
        <v>Хорека</v>
      </c>
      <c r="Z301" t="str">
        <f>PROPER(Table1[[#This Row],[Insole]])</f>
        <v>Текстил, Интегрирана Стелка, Масажираща Стелка</v>
      </c>
    </row>
    <row r="302" spans="1:26" ht="12.75" customHeight="1" x14ac:dyDescent="0.2">
      <c r="A302" s="2" t="s">
        <v>167</v>
      </c>
      <c r="B302" s="2" t="s">
        <v>168</v>
      </c>
      <c r="C302" s="2" t="s">
        <v>169</v>
      </c>
      <c r="D302" s="2" t="s">
        <v>1805</v>
      </c>
      <c r="E302" s="2" t="s">
        <v>2548</v>
      </c>
      <c r="F302" s="6" t="s">
        <v>3056</v>
      </c>
      <c r="G302" s="2" t="s">
        <v>170</v>
      </c>
      <c r="H302" s="2" t="s">
        <v>35</v>
      </c>
      <c r="I302" s="2" t="s">
        <v>3133</v>
      </c>
      <c r="J302" s="2" t="s">
        <v>1783</v>
      </c>
      <c r="K302" s="2" t="s">
        <v>1787</v>
      </c>
      <c r="L302" s="2" t="s">
        <v>95</v>
      </c>
      <c r="M302" s="7" t="s">
        <v>171</v>
      </c>
      <c r="N302" s="2" t="s">
        <v>3252</v>
      </c>
      <c r="O302" s="3" t="s">
        <v>2323</v>
      </c>
      <c r="P302" s="2" t="s">
        <v>3171</v>
      </c>
      <c r="Q302" s="2" t="s">
        <v>3168</v>
      </c>
      <c r="R302" s="2" t="s">
        <v>3155</v>
      </c>
      <c r="S302" s="2" t="s">
        <v>2330</v>
      </c>
      <c r="T302" s="2" t="s">
        <v>2363</v>
      </c>
      <c r="U302" s="2" t="s">
        <v>49</v>
      </c>
      <c r="V302" s="2" t="s">
        <v>2390</v>
      </c>
      <c r="W302" s="2"/>
      <c r="Y302" t="str">
        <f>PROPER(Table1[[#This Row],[Industry]])</f>
        <v>Тежка Индустрия, Лека Индустрия</v>
      </c>
      <c r="Z302" t="str">
        <f>PROPER(Table1[[#This Row],[Insole]])</f>
        <v>Текстил,Сменяема Стелка</v>
      </c>
    </row>
    <row r="303" spans="1:26" ht="12.75" customHeight="1" x14ac:dyDescent="0.2">
      <c r="A303" s="2" t="s">
        <v>573</v>
      </c>
      <c r="B303" s="2" t="s">
        <v>574</v>
      </c>
      <c r="C303" s="2" t="s">
        <v>575</v>
      </c>
      <c r="D303" s="2" t="s">
        <v>1863</v>
      </c>
      <c r="E303" s="2" t="s">
        <v>2660</v>
      </c>
      <c r="F303" s="2"/>
      <c r="G303" s="2" t="s">
        <v>576</v>
      </c>
      <c r="H303" s="2" t="s">
        <v>536</v>
      </c>
      <c r="I303" s="2" t="s">
        <v>3137</v>
      </c>
      <c r="J303" s="2" t="s">
        <v>3190</v>
      </c>
      <c r="K303" s="2" t="s">
        <v>1787</v>
      </c>
      <c r="L303" s="2" t="s">
        <v>95</v>
      </c>
      <c r="M303" s="7" t="s">
        <v>577</v>
      </c>
      <c r="N303" s="2" t="s">
        <v>3229</v>
      </c>
      <c r="O303" s="2"/>
      <c r="P303" s="2" t="s">
        <v>3184</v>
      </c>
      <c r="Q303" s="2" t="s">
        <v>3172</v>
      </c>
      <c r="R303" s="2" t="s">
        <v>3155</v>
      </c>
      <c r="S303" s="2" t="s">
        <v>2317</v>
      </c>
      <c r="T303" s="2" t="s">
        <v>2355</v>
      </c>
      <c r="U303" s="2" t="s">
        <v>101</v>
      </c>
      <c r="V303" s="2" t="s">
        <v>2413</v>
      </c>
      <c r="W303" s="2"/>
      <c r="Y303" t="str">
        <f>PROPER(Table1[[#This Row],[Industry]])</f>
        <v>Строителство / Довършителни Работи</v>
      </c>
      <c r="Z303" t="str">
        <f>PROPER(Table1[[#This Row],[Insole]])</f>
        <v>Текстил,Сменяема Стелка</v>
      </c>
    </row>
    <row r="304" spans="1:26" ht="12.75" customHeight="1" x14ac:dyDescent="0.2">
      <c r="A304" s="2" t="s">
        <v>1221</v>
      </c>
      <c r="B304" s="2" t="s">
        <v>1222</v>
      </c>
      <c r="C304" s="2" t="s">
        <v>1223</v>
      </c>
      <c r="D304" s="2" t="s">
        <v>1919</v>
      </c>
      <c r="E304" s="2" t="s">
        <v>2863</v>
      </c>
      <c r="F304" s="2"/>
      <c r="G304" s="2" t="s">
        <v>576</v>
      </c>
      <c r="H304" s="2" t="s">
        <v>536</v>
      </c>
      <c r="I304" s="2" t="s">
        <v>3126</v>
      </c>
      <c r="J304" s="2" t="s">
        <v>3190</v>
      </c>
      <c r="K304" s="2" t="s">
        <v>1787</v>
      </c>
      <c r="L304" s="2" t="s">
        <v>95</v>
      </c>
      <c r="M304" s="7" t="s">
        <v>1224</v>
      </c>
      <c r="N304" s="2" t="s">
        <v>3229</v>
      </c>
      <c r="O304" s="2"/>
      <c r="P304" s="2" t="s">
        <v>3170</v>
      </c>
      <c r="Q304" s="2" t="s">
        <v>3172</v>
      </c>
      <c r="R304" s="2" t="s">
        <v>3155</v>
      </c>
      <c r="S304" s="2" t="s">
        <v>2315</v>
      </c>
      <c r="T304" s="2" t="s">
        <v>2355</v>
      </c>
      <c r="U304" s="2" t="s">
        <v>101</v>
      </c>
      <c r="V304" s="2" t="s">
        <v>2413</v>
      </c>
      <c r="W304" s="2"/>
      <c r="Y304" t="str">
        <f>PROPER(Table1[[#This Row],[Industry]])</f>
        <v>Транспорт / Склад И Логистика</v>
      </c>
      <c r="Z304" t="str">
        <f>PROPER(Table1[[#This Row],[Insole]])</f>
        <v>Текстил,Сменяема Стелка</v>
      </c>
    </row>
    <row r="305" spans="1:26" ht="12.75" customHeight="1" x14ac:dyDescent="0.2">
      <c r="A305" s="2" t="s">
        <v>1225</v>
      </c>
      <c r="B305" s="2" t="s">
        <v>1226</v>
      </c>
      <c r="C305" s="2" t="s">
        <v>1227</v>
      </c>
      <c r="D305" s="2" t="s">
        <v>2051</v>
      </c>
      <c r="E305" s="2" t="s">
        <v>2864</v>
      </c>
      <c r="F305" s="2"/>
      <c r="G305" s="2" t="s">
        <v>576</v>
      </c>
      <c r="H305" s="2" t="s">
        <v>536</v>
      </c>
      <c r="I305" s="2" t="s">
        <v>3109</v>
      </c>
      <c r="J305" s="2" t="s">
        <v>3190</v>
      </c>
      <c r="K305" s="2" t="s">
        <v>1984</v>
      </c>
      <c r="L305" s="2" t="s">
        <v>95</v>
      </c>
      <c r="M305" s="7" t="s">
        <v>1224</v>
      </c>
      <c r="N305" s="2" t="s">
        <v>3230</v>
      </c>
      <c r="O305" s="2"/>
      <c r="P305" s="2" t="s">
        <v>3173</v>
      </c>
      <c r="Q305" s="2" t="s">
        <v>3172</v>
      </c>
      <c r="R305" s="2" t="s">
        <v>3155</v>
      </c>
      <c r="S305" s="2" t="s">
        <v>2315</v>
      </c>
      <c r="T305" s="2" t="s">
        <v>2368</v>
      </c>
      <c r="U305" s="2" t="s">
        <v>101</v>
      </c>
      <c r="V305" s="2" t="s">
        <v>2392</v>
      </c>
      <c r="W305" s="2"/>
      <c r="Y305" t="str">
        <f>PROPER(Table1[[#This Row],[Industry]])</f>
        <v>Хранително-Вкусова Индустрия</v>
      </c>
      <c r="Z305" t="str">
        <f>PROPER(Table1[[#This Row],[Insole]])</f>
        <v>Текстил,Сменяема Стелка</v>
      </c>
    </row>
    <row r="306" spans="1:26" ht="12.75" customHeight="1" x14ac:dyDescent="0.2">
      <c r="A306" s="2" t="s">
        <v>578</v>
      </c>
      <c r="B306" s="2" t="s">
        <v>579</v>
      </c>
      <c r="C306" s="2" t="s">
        <v>580</v>
      </c>
      <c r="D306" s="2" t="s">
        <v>1864</v>
      </c>
      <c r="E306" s="2" t="s">
        <v>2661</v>
      </c>
      <c r="F306" s="2"/>
      <c r="G306" s="2" t="s">
        <v>576</v>
      </c>
      <c r="H306" s="2" t="s">
        <v>536</v>
      </c>
      <c r="I306" s="2" t="s">
        <v>3125</v>
      </c>
      <c r="J306" s="2" t="s">
        <v>3192</v>
      </c>
      <c r="K306" s="2" t="s">
        <v>1787</v>
      </c>
      <c r="L306" s="2" t="s">
        <v>95</v>
      </c>
      <c r="M306" s="7" t="s">
        <v>577</v>
      </c>
      <c r="N306" s="2" t="s">
        <v>3229</v>
      </c>
      <c r="O306" s="2"/>
      <c r="P306" s="2" t="s">
        <v>3171</v>
      </c>
      <c r="Q306" s="2" t="s">
        <v>3172</v>
      </c>
      <c r="R306" s="2" t="s">
        <v>3155</v>
      </c>
      <c r="S306" s="2" t="s">
        <v>2315</v>
      </c>
      <c r="T306" s="2" t="s">
        <v>2361</v>
      </c>
      <c r="U306" s="2" t="s">
        <v>101</v>
      </c>
      <c r="V306" s="2" t="s">
        <v>2405</v>
      </c>
      <c r="W306" s="2"/>
      <c r="Y306" t="str">
        <f>PROPER(Table1[[#This Row],[Industry]])</f>
        <v>Електронна Индустрия, Лека Индустрия, Транспорт / Склад И Логистика</v>
      </c>
      <c r="Z306" t="str">
        <f>PROPER(Table1[[#This Row],[Insole]])</f>
        <v>Текстил,Сменяема Стелка</v>
      </c>
    </row>
    <row r="307" spans="1:26" ht="12.75" customHeight="1" x14ac:dyDescent="0.2">
      <c r="A307" s="2" t="s">
        <v>394</v>
      </c>
      <c r="B307" s="2" t="s">
        <v>395</v>
      </c>
      <c r="C307" s="2" t="s">
        <v>396</v>
      </c>
      <c r="D307" s="2" t="s">
        <v>1837</v>
      </c>
      <c r="E307" s="2" t="s">
        <v>2613</v>
      </c>
      <c r="F307" s="6" t="s">
        <v>3055</v>
      </c>
      <c r="G307" s="2" t="s">
        <v>386</v>
      </c>
      <c r="H307" s="2" t="s">
        <v>53</v>
      </c>
      <c r="I307" s="2" t="s">
        <v>3149</v>
      </c>
      <c r="J307" s="2" t="s">
        <v>1783</v>
      </c>
      <c r="K307" s="2" t="s">
        <v>1787</v>
      </c>
      <c r="L307" s="2" t="s">
        <v>3193</v>
      </c>
      <c r="M307" s="7" t="s">
        <v>3193</v>
      </c>
      <c r="N307" s="2" t="s">
        <v>3200</v>
      </c>
      <c r="O307" s="2"/>
      <c r="P307" s="2" t="s">
        <v>3170</v>
      </c>
      <c r="Q307" s="2" t="s">
        <v>3174</v>
      </c>
      <c r="R307" s="2" t="s">
        <v>3162</v>
      </c>
      <c r="S307" s="2" t="s">
        <v>3089</v>
      </c>
      <c r="T307" s="2" t="s">
        <v>2355</v>
      </c>
      <c r="U307" s="2" t="s">
        <v>397</v>
      </c>
      <c r="V307" s="2" t="s">
        <v>2411</v>
      </c>
      <c r="W307" s="2"/>
      <c r="Y307" t="str">
        <f>PROPER(Table1[[#This Row],[Industry]])</f>
        <v>Пожарникари И Спасители, Охрана И Сигурност / Охрана, Тактически</v>
      </c>
      <c r="Z307" t="str">
        <f>PROPER(Table1[[#This Row],[Insole]])</f>
        <v>Текстил</v>
      </c>
    </row>
    <row r="308" spans="1:26" ht="12.75" customHeight="1" x14ac:dyDescent="0.2">
      <c r="A308" s="2" t="s">
        <v>384</v>
      </c>
      <c r="B308" s="2" t="s">
        <v>385</v>
      </c>
      <c r="C308" s="4" t="s">
        <v>2508</v>
      </c>
      <c r="D308" s="2" t="s">
        <v>3047</v>
      </c>
      <c r="E308" s="2" t="s">
        <v>2610</v>
      </c>
      <c r="F308" s="2"/>
      <c r="G308" s="2" t="s">
        <v>2342</v>
      </c>
      <c r="H308" s="2" t="s">
        <v>53</v>
      </c>
      <c r="I308" s="2" t="s">
        <v>3149</v>
      </c>
      <c r="J308" s="2" t="s">
        <v>1783</v>
      </c>
      <c r="K308" s="2" t="s">
        <v>1787</v>
      </c>
      <c r="L308" s="2" t="s">
        <v>3193</v>
      </c>
      <c r="M308" s="7" t="s">
        <v>3193</v>
      </c>
      <c r="N308" s="2" t="s">
        <v>3200</v>
      </c>
      <c r="O308" s="2"/>
      <c r="P308" s="2" t="s">
        <v>3170</v>
      </c>
      <c r="Q308" s="2" t="s">
        <v>3174</v>
      </c>
      <c r="R308" s="2" t="s">
        <v>3162</v>
      </c>
      <c r="S308" s="2" t="s">
        <v>2343</v>
      </c>
      <c r="T308" s="2" t="s">
        <v>2355</v>
      </c>
      <c r="U308" s="2" t="s">
        <v>387</v>
      </c>
      <c r="V308" s="2" t="s">
        <v>2409</v>
      </c>
      <c r="W308" s="2"/>
      <c r="Y308" t="str">
        <f>PROPER(Table1[[#This Row],[Industry]])</f>
        <v>Пожарникари И Спасители, Охрана И Сигурност / Охрана, Тактически</v>
      </c>
      <c r="Z308" t="str">
        <f>PROPER(Table1[[#This Row],[Insole]])</f>
        <v>Текстил</v>
      </c>
    </row>
    <row r="309" spans="1:26" ht="12.75" customHeight="1" x14ac:dyDescent="0.2">
      <c r="A309" s="2" t="s">
        <v>479</v>
      </c>
      <c r="B309" s="2" t="s">
        <v>480</v>
      </c>
      <c r="C309" s="2" t="s">
        <v>481</v>
      </c>
      <c r="D309" s="2" t="s">
        <v>1987</v>
      </c>
      <c r="E309" s="2" t="s">
        <v>2634</v>
      </c>
      <c r="F309" s="2"/>
      <c r="G309" s="2" t="s">
        <v>482</v>
      </c>
      <c r="H309" s="2" t="s">
        <v>35</v>
      </c>
      <c r="I309" s="2" t="s">
        <v>3102</v>
      </c>
      <c r="J309" s="2" t="s">
        <v>3192</v>
      </c>
      <c r="K309" s="2" t="s">
        <v>1984</v>
      </c>
      <c r="L309" s="2" t="s">
        <v>95</v>
      </c>
      <c r="M309" s="7" t="s">
        <v>48</v>
      </c>
      <c r="N309" s="2" t="s">
        <v>3332</v>
      </c>
      <c r="O309" s="3" t="s">
        <v>2322</v>
      </c>
      <c r="P309" s="2" t="s">
        <v>3170</v>
      </c>
      <c r="Q309" s="2" t="s">
        <v>3168</v>
      </c>
      <c r="R309" s="2" t="s">
        <v>3155</v>
      </c>
      <c r="S309" s="2" t="s">
        <v>2326</v>
      </c>
      <c r="T309" s="2" t="s">
        <v>2367</v>
      </c>
      <c r="U309" s="2" t="s">
        <v>49</v>
      </c>
      <c r="V309" s="2" t="s">
        <v>2422</v>
      </c>
      <c r="W309" s="2" t="s">
        <v>49</v>
      </c>
      <c r="Y309" t="str">
        <f>PROPER(Table1[[#This Row],[Industry]])</f>
        <v>Хранително-Вкусова Индустрия, Гастрономия / Кухня, Хорека, Фармацевтика</v>
      </c>
      <c r="Z309" t="str">
        <f>PROPER(Table1[[#This Row],[Insole]])</f>
        <v>Текстил,Сменяема Стелка</v>
      </c>
    </row>
    <row r="310" spans="1:26" ht="12.75" customHeight="1" x14ac:dyDescent="0.2">
      <c r="A310" s="2" t="s">
        <v>812</v>
      </c>
      <c r="B310" s="2" t="s">
        <v>813</v>
      </c>
      <c r="C310" s="2" t="s">
        <v>814</v>
      </c>
      <c r="D310" s="2" t="s">
        <v>2133</v>
      </c>
      <c r="E310" s="2" t="s">
        <v>2730</v>
      </c>
      <c r="F310" s="2"/>
      <c r="G310" s="2" t="s">
        <v>810</v>
      </c>
      <c r="H310" s="2" t="s">
        <v>536</v>
      </c>
      <c r="I310" s="2" t="s">
        <v>3111</v>
      </c>
      <c r="J310" s="2" t="s">
        <v>3191</v>
      </c>
      <c r="K310" s="2" t="s">
        <v>1984</v>
      </c>
      <c r="L310" s="2" t="s">
        <v>41</v>
      </c>
      <c r="M310" s="7" t="s">
        <v>811</v>
      </c>
      <c r="N310" s="2" t="s">
        <v>3202</v>
      </c>
      <c r="O310" s="2"/>
      <c r="P310" s="2" t="s">
        <v>3170</v>
      </c>
      <c r="Q310" s="2" t="s">
        <v>3162</v>
      </c>
      <c r="R310" s="2" t="s">
        <v>3160</v>
      </c>
      <c r="S310" s="2" t="s">
        <v>2339</v>
      </c>
      <c r="T310" s="2" t="s">
        <v>2367</v>
      </c>
      <c r="U310" s="2" t="s">
        <v>91</v>
      </c>
      <c r="V310" s="2" t="s">
        <v>2447</v>
      </c>
      <c r="W310" s="2"/>
      <c r="Y310" t="str">
        <f>PROPER(Table1[[#This Row],[Industry]])</f>
        <v>Хорека, Болничен Персонал, Фармацевтика</v>
      </c>
      <c r="Z310" t="str">
        <f>PROPER(Table1[[#This Row],[Insole]])</f>
        <v>Кожа/Текстил, Интегрирана Стелка</v>
      </c>
    </row>
    <row r="311" spans="1:26" ht="12.75" customHeight="1" x14ac:dyDescent="0.2">
      <c r="A311" s="2" t="s">
        <v>819</v>
      </c>
      <c r="B311" s="2" t="s">
        <v>820</v>
      </c>
      <c r="C311" s="2" t="s">
        <v>821</v>
      </c>
      <c r="D311" s="2" t="s">
        <v>2135</v>
      </c>
      <c r="E311" s="2" t="s">
        <v>2732</v>
      </c>
      <c r="F311" s="2"/>
      <c r="G311" s="2" t="s">
        <v>810</v>
      </c>
      <c r="H311" s="2" t="s">
        <v>536</v>
      </c>
      <c r="I311" s="2" t="s">
        <v>3111</v>
      </c>
      <c r="J311" s="2" t="s">
        <v>3191</v>
      </c>
      <c r="K311" s="2" t="s">
        <v>1984</v>
      </c>
      <c r="L311" s="2" t="s">
        <v>41</v>
      </c>
      <c r="M311" s="7" t="s">
        <v>811</v>
      </c>
      <c r="N311" s="2" t="s">
        <v>3202</v>
      </c>
      <c r="O311" s="2"/>
      <c r="P311" s="2" t="s">
        <v>3170</v>
      </c>
      <c r="Q311" s="2" t="s">
        <v>3162</v>
      </c>
      <c r="R311" s="2" t="s">
        <v>3160</v>
      </c>
      <c r="S311" s="2" t="s">
        <v>2339</v>
      </c>
      <c r="T311" s="2" t="s">
        <v>2367</v>
      </c>
      <c r="U311" s="2" t="s">
        <v>818</v>
      </c>
      <c r="V311" s="2" t="s">
        <v>2447</v>
      </c>
      <c r="W311" s="2"/>
      <c r="Y311" t="str">
        <f>PROPER(Table1[[#This Row],[Industry]])</f>
        <v>Хорека, Болничен Персонал, Фармацевтика</v>
      </c>
      <c r="Z311" t="str">
        <f>PROPER(Table1[[#This Row],[Insole]])</f>
        <v>Кожа/Текстил, Интегрирана Стелка</v>
      </c>
    </row>
    <row r="312" spans="1:26" ht="12.75" customHeight="1" x14ac:dyDescent="0.2">
      <c r="A312" s="2" t="s">
        <v>918</v>
      </c>
      <c r="B312" s="2" t="s">
        <v>919</v>
      </c>
      <c r="C312" s="2" t="s">
        <v>920</v>
      </c>
      <c r="D312" s="2" t="s">
        <v>2138</v>
      </c>
      <c r="E312" s="2" t="s">
        <v>2765</v>
      </c>
      <c r="F312" s="2"/>
      <c r="G312" s="2" t="s">
        <v>810</v>
      </c>
      <c r="H312" s="2" t="s">
        <v>536</v>
      </c>
      <c r="I312" s="2" t="s">
        <v>3111</v>
      </c>
      <c r="J312" s="2" t="s">
        <v>3191</v>
      </c>
      <c r="K312" s="2" t="s">
        <v>1984</v>
      </c>
      <c r="L312" s="2" t="s">
        <v>41</v>
      </c>
      <c r="M312" s="7" t="s">
        <v>811</v>
      </c>
      <c r="N312" s="2" t="s">
        <v>3202</v>
      </c>
      <c r="O312" s="2"/>
      <c r="P312" s="2" t="s">
        <v>3170</v>
      </c>
      <c r="Q312" s="2" t="s">
        <v>3162</v>
      </c>
      <c r="R312" s="2" t="s">
        <v>3159</v>
      </c>
      <c r="S312" s="2" t="s">
        <v>2339</v>
      </c>
      <c r="T312" s="2" t="s">
        <v>2367</v>
      </c>
      <c r="U312" s="2" t="s">
        <v>91</v>
      </c>
      <c r="V312" s="2" t="s">
        <v>2447</v>
      </c>
      <c r="W312" s="2"/>
      <c r="Y312" t="str">
        <f>PROPER(Table1[[#This Row],[Industry]])</f>
        <v>Хорека, Болничен Персонал, Фармацевтика</v>
      </c>
      <c r="Z312" t="str">
        <f>PROPER(Table1[[#This Row],[Insole]])</f>
        <v>Текстил, Интегрирана Стелка</v>
      </c>
    </row>
    <row r="313" spans="1:26" ht="12.75" customHeight="1" x14ac:dyDescent="0.2">
      <c r="A313" s="2" t="s">
        <v>927</v>
      </c>
      <c r="B313" s="2" t="s">
        <v>928</v>
      </c>
      <c r="C313" s="2" t="s">
        <v>929</v>
      </c>
      <c r="D313" s="2" t="s">
        <v>2139</v>
      </c>
      <c r="E313" s="2" t="s">
        <v>2768</v>
      </c>
      <c r="F313" s="2"/>
      <c r="G313" s="2" t="s">
        <v>810</v>
      </c>
      <c r="H313" s="2" t="s">
        <v>536</v>
      </c>
      <c r="I313" s="2" t="s">
        <v>3111</v>
      </c>
      <c r="J313" s="2" t="s">
        <v>3191</v>
      </c>
      <c r="K313" s="2" t="s">
        <v>1984</v>
      </c>
      <c r="L313" s="2" t="s">
        <v>41</v>
      </c>
      <c r="M313" s="7" t="s">
        <v>811</v>
      </c>
      <c r="N313" s="2" t="s">
        <v>3202</v>
      </c>
      <c r="O313" s="2"/>
      <c r="P313" s="2" t="s">
        <v>3170</v>
      </c>
      <c r="Q313" s="2" t="s">
        <v>3174</v>
      </c>
      <c r="R313" s="2" t="s">
        <v>3157</v>
      </c>
      <c r="S313" s="2" t="s">
        <v>2339</v>
      </c>
      <c r="T313" s="2" t="s">
        <v>2368</v>
      </c>
      <c r="U313" s="2" t="s">
        <v>91</v>
      </c>
      <c r="V313" s="2" t="s">
        <v>2446</v>
      </c>
      <c r="W313" s="2"/>
      <c r="Y313" t="str">
        <f>PROPER(Table1[[#This Row],[Industry]])</f>
        <v>Хорека, Болничен Персонал, Фармацевтика</v>
      </c>
      <c r="Z313" t="str">
        <f>PROPER(Table1[[#This Row],[Insole]])</f>
        <v>Кожа, Интегрирана Стелка</v>
      </c>
    </row>
    <row r="314" spans="1:26" ht="12.75" customHeight="1" x14ac:dyDescent="0.2">
      <c r="A314" s="2" t="s">
        <v>942</v>
      </c>
      <c r="B314" s="2" t="s">
        <v>943</v>
      </c>
      <c r="C314" s="2" t="s">
        <v>944</v>
      </c>
      <c r="D314" s="2" t="s">
        <v>2140</v>
      </c>
      <c r="E314" s="2" t="s">
        <v>2773</v>
      </c>
      <c r="F314" s="2"/>
      <c r="G314" s="2" t="s">
        <v>810</v>
      </c>
      <c r="H314" s="2" t="s">
        <v>536</v>
      </c>
      <c r="I314" s="2" t="s">
        <v>3111</v>
      </c>
      <c r="J314" s="2" t="s">
        <v>3191</v>
      </c>
      <c r="K314" s="2" t="s">
        <v>1984</v>
      </c>
      <c r="L314" s="2" t="s">
        <v>41</v>
      </c>
      <c r="M314" s="7" t="s">
        <v>811</v>
      </c>
      <c r="N314" s="2" t="s">
        <v>3202</v>
      </c>
      <c r="O314" s="2"/>
      <c r="P314" s="2" t="s">
        <v>3170</v>
      </c>
      <c r="Q314" s="2" t="s">
        <v>3162</v>
      </c>
      <c r="R314" s="2" t="s">
        <v>3157</v>
      </c>
      <c r="S314" s="2" t="s">
        <v>2339</v>
      </c>
      <c r="T314" s="2" t="s">
        <v>2367</v>
      </c>
      <c r="U314" s="2" t="s">
        <v>91</v>
      </c>
      <c r="V314" s="2" t="s">
        <v>2447</v>
      </c>
      <c r="W314" s="2"/>
      <c r="Y314" t="str">
        <f>PROPER(Table1[[#This Row],[Industry]])</f>
        <v>Хорека, Болничен Персонал, Фармацевтика</v>
      </c>
      <c r="Z314" t="str">
        <f>PROPER(Table1[[#This Row],[Insole]])</f>
        <v>Кожа, Интегрирана Стелка</v>
      </c>
    </row>
    <row r="315" spans="1:26" ht="12.75" customHeight="1" x14ac:dyDescent="0.2">
      <c r="A315" s="2" t="s">
        <v>939</v>
      </c>
      <c r="B315" s="2" t="s">
        <v>940</v>
      </c>
      <c r="C315" s="2" t="s">
        <v>941</v>
      </c>
      <c r="D315" s="2" t="s">
        <v>2247</v>
      </c>
      <c r="E315" s="2" t="s">
        <v>2772</v>
      </c>
      <c r="F315" s="2"/>
      <c r="G315" s="2" t="s">
        <v>810</v>
      </c>
      <c r="H315" s="2" t="s">
        <v>536</v>
      </c>
      <c r="I315" s="2" t="s">
        <v>3111</v>
      </c>
      <c r="J315" s="2" t="s">
        <v>3191</v>
      </c>
      <c r="K315" s="2" t="s">
        <v>2241</v>
      </c>
      <c r="L315" s="2" t="s">
        <v>41</v>
      </c>
      <c r="M315" s="7" t="s">
        <v>811</v>
      </c>
      <c r="N315" s="2" t="s">
        <v>3202</v>
      </c>
      <c r="O315" s="2"/>
      <c r="P315" s="2" t="s">
        <v>3170</v>
      </c>
      <c r="Q315" s="2" t="s">
        <v>3162</v>
      </c>
      <c r="R315" s="2" t="s">
        <v>3159</v>
      </c>
      <c r="S315" s="2" t="s">
        <v>2339</v>
      </c>
      <c r="T315" s="2" t="s">
        <v>2367</v>
      </c>
      <c r="U315" s="2" t="s">
        <v>818</v>
      </c>
      <c r="V315" s="2" t="s">
        <v>2435</v>
      </c>
      <c r="W315" s="2"/>
      <c r="Y315" t="str">
        <f>PROPER(Table1[[#This Row],[Industry]])</f>
        <v>Хорека, Болничен Персонал, Фармацевтика</v>
      </c>
      <c r="Z315" t="str">
        <f>PROPER(Table1[[#This Row],[Insole]])</f>
        <v>Текстил, Интегрирана Стелка</v>
      </c>
    </row>
    <row r="316" spans="1:26" ht="12.75" customHeight="1" x14ac:dyDescent="0.2">
      <c r="A316" s="2" t="s">
        <v>933</v>
      </c>
      <c r="B316" s="2" t="s">
        <v>934</v>
      </c>
      <c r="C316" s="2" t="s">
        <v>935</v>
      </c>
      <c r="D316" s="2" t="s">
        <v>2230</v>
      </c>
      <c r="E316" s="2" t="s">
        <v>2770</v>
      </c>
      <c r="F316" s="2"/>
      <c r="G316" s="2" t="s">
        <v>810</v>
      </c>
      <c r="H316" s="2" t="s">
        <v>536</v>
      </c>
      <c r="I316" s="2" t="s">
        <v>3111</v>
      </c>
      <c r="J316" s="2" t="s">
        <v>3191</v>
      </c>
      <c r="K316" s="2" t="s">
        <v>2211</v>
      </c>
      <c r="L316" s="2" t="s">
        <v>41</v>
      </c>
      <c r="M316" s="7" t="s">
        <v>811</v>
      </c>
      <c r="N316" s="2" t="s">
        <v>3202</v>
      </c>
      <c r="O316" s="2"/>
      <c r="P316" s="2" t="s">
        <v>3170</v>
      </c>
      <c r="Q316" s="2" t="s">
        <v>3162</v>
      </c>
      <c r="R316" s="2" t="s">
        <v>3159</v>
      </c>
      <c r="S316" s="2" t="s">
        <v>2339</v>
      </c>
      <c r="T316" s="2" t="s">
        <v>2367</v>
      </c>
      <c r="U316" s="2" t="s">
        <v>818</v>
      </c>
      <c r="V316" s="2" t="s">
        <v>2435</v>
      </c>
      <c r="W316" s="2"/>
      <c r="Y316" t="str">
        <f>PROPER(Table1[[#This Row],[Industry]])</f>
        <v>Хорека, Болничен Персонал, Фармацевтика</v>
      </c>
      <c r="Z316" t="str">
        <f>PROPER(Table1[[#This Row],[Insole]])</f>
        <v>Текстил, Интегрирана Стелка</v>
      </c>
    </row>
    <row r="317" spans="1:26" ht="12.75" customHeight="1" x14ac:dyDescent="0.2">
      <c r="A317" s="2" t="s">
        <v>924</v>
      </c>
      <c r="B317" s="2" t="s">
        <v>925</v>
      </c>
      <c r="C317" s="2" t="s">
        <v>926</v>
      </c>
      <c r="D317" s="2" t="s">
        <v>2179</v>
      </c>
      <c r="E317" s="2" t="s">
        <v>2767</v>
      </c>
      <c r="F317" s="2"/>
      <c r="G317" s="2" t="s">
        <v>810</v>
      </c>
      <c r="H317" s="2" t="s">
        <v>536</v>
      </c>
      <c r="I317" s="2" t="s">
        <v>3106</v>
      </c>
      <c r="J317" s="2" t="s">
        <v>3191</v>
      </c>
      <c r="K317" s="2" t="s">
        <v>1787</v>
      </c>
      <c r="L317" s="2" t="s">
        <v>41</v>
      </c>
      <c r="M317" s="7" t="s">
        <v>811</v>
      </c>
      <c r="N317" s="2" t="s">
        <v>3202</v>
      </c>
      <c r="O317" s="2"/>
      <c r="P317" s="2" t="s">
        <v>3170</v>
      </c>
      <c r="Q317" s="2" t="s">
        <v>3162</v>
      </c>
      <c r="R317" s="2" t="s">
        <v>3159</v>
      </c>
      <c r="S317" s="2" t="s">
        <v>2339</v>
      </c>
      <c r="T317" s="2" t="s">
        <v>2367</v>
      </c>
      <c r="U317" s="2" t="s">
        <v>91</v>
      </c>
      <c r="V317" s="2" t="s">
        <v>2447</v>
      </c>
      <c r="W317" s="2"/>
      <c r="Y317" t="str">
        <f>PROPER(Table1[[#This Row],[Industry]])</f>
        <v>Гастрономия / Кухня, Хорека, Болничен Персонал, Фармацевтика</v>
      </c>
      <c r="Z317" t="str">
        <f>PROPER(Table1[[#This Row],[Insole]])</f>
        <v>Текстил, Интегрирана Стелка</v>
      </c>
    </row>
    <row r="318" spans="1:26" ht="12.75" customHeight="1" x14ac:dyDescent="0.2">
      <c r="A318" s="2" t="s">
        <v>807</v>
      </c>
      <c r="B318" s="2" t="s">
        <v>808</v>
      </c>
      <c r="C318" s="2" t="s">
        <v>809</v>
      </c>
      <c r="D318" s="2" t="s">
        <v>2132</v>
      </c>
      <c r="E318" s="2" t="s">
        <v>2729</v>
      </c>
      <c r="F318" s="2"/>
      <c r="G318" s="2" t="s">
        <v>810</v>
      </c>
      <c r="H318" s="2" t="s">
        <v>536</v>
      </c>
      <c r="I318" s="2" t="s">
        <v>3111</v>
      </c>
      <c r="J318" s="2" t="s">
        <v>3191</v>
      </c>
      <c r="K318" s="2" t="s">
        <v>1984</v>
      </c>
      <c r="L318" s="2" t="s">
        <v>41</v>
      </c>
      <c r="M318" s="7" t="s">
        <v>811</v>
      </c>
      <c r="N318" s="2" t="s">
        <v>3268</v>
      </c>
      <c r="O318" s="2"/>
      <c r="P318" s="2" t="s">
        <v>3170</v>
      </c>
      <c r="Q318" s="2" t="s">
        <v>3162</v>
      </c>
      <c r="R318" s="2" t="s">
        <v>3160</v>
      </c>
      <c r="S318" s="2" t="s">
        <v>2339</v>
      </c>
      <c r="T318" s="2" t="s">
        <v>2367</v>
      </c>
      <c r="U318" s="2" t="s">
        <v>91</v>
      </c>
      <c r="V318" s="2" t="s">
        <v>2446</v>
      </c>
      <c r="W318" s="2"/>
      <c r="Y318" t="str">
        <f>PROPER(Table1[[#This Row],[Industry]])</f>
        <v>Хорека, Болничен Персонал, Фармацевтика</v>
      </c>
      <c r="Z318" t="str">
        <f>PROPER(Table1[[#This Row],[Insole]])</f>
        <v>Кожа/Текстил, Интегрирана Стелка</v>
      </c>
    </row>
    <row r="319" spans="1:26" ht="12.75" customHeight="1" x14ac:dyDescent="0.2">
      <c r="A319" s="2" t="s">
        <v>815</v>
      </c>
      <c r="B319" s="2" t="s">
        <v>816</v>
      </c>
      <c r="C319" s="2" t="s">
        <v>817</v>
      </c>
      <c r="D319" s="2" t="s">
        <v>2134</v>
      </c>
      <c r="E319" s="2" t="s">
        <v>2731</v>
      </c>
      <c r="F319" s="2"/>
      <c r="G319" s="2" t="s">
        <v>810</v>
      </c>
      <c r="H319" s="2" t="s">
        <v>536</v>
      </c>
      <c r="I319" s="2" t="s">
        <v>3111</v>
      </c>
      <c r="J319" s="2" t="s">
        <v>3191</v>
      </c>
      <c r="K319" s="2" t="s">
        <v>1984</v>
      </c>
      <c r="L319" s="2" t="s">
        <v>41</v>
      </c>
      <c r="M319" s="7" t="s">
        <v>811</v>
      </c>
      <c r="N319" s="2" t="s">
        <v>3268</v>
      </c>
      <c r="O319" s="2"/>
      <c r="P319" s="2" t="s">
        <v>3170</v>
      </c>
      <c r="Q319" s="2" t="s">
        <v>3162</v>
      </c>
      <c r="R319" s="2" t="s">
        <v>3160</v>
      </c>
      <c r="S319" s="2" t="s">
        <v>2339</v>
      </c>
      <c r="T319" s="2" t="s">
        <v>2367</v>
      </c>
      <c r="U319" s="2" t="s">
        <v>818</v>
      </c>
      <c r="V319" s="2" t="s">
        <v>2446</v>
      </c>
      <c r="W319" s="2"/>
      <c r="Y319" t="str">
        <f>PROPER(Table1[[#This Row],[Industry]])</f>
        <v>Хорека, Болничен Персонал, Фармацевтика</v>
      </c>
      <c r="Z319" t="str">
        <f>PROPER(Table1[[#This Row],[Insole]])</f>
        <v>Кожа/Текстил, Интегрирана Стелка</v>
      </c>
    </row>
    <row r="320" spans="1:26" ht="12.75" customHeight="1" x14ac:dyDescent="0.2">
      <c r="A320" s="2" t="s">
        <v>915</v>
      </c>
      <c r="B320" s="2" t="s">
        <v>916</v>
      </c>
      <c r="C320" s="2" t="s">
        <v>917</v>
      </c>
      <c r="D320" s="2" t="s">
        <v>2137</v>
      </c>
      <c r="E320" s="2" t="s">
        <v>2764</v>
      </c>
      <c r="F320" s="2"/>
      <c r="G320" s="2" t="s">
        <v>810</v>
      </c>
      <c r="H320" s="2" t="s">
        <v>536</v>
      </c>
      <c r="I320" s="2" t="s">
        <v>3111</v>
      </c>
      <c r="J320" s="2" t="s">
        <v>3191</v>
      </c>
      <c r="K320" s="2" t="s">
        <v>1984</v>
      </c>
      <c r="L320" s="2" t="s">
        <v>41</v>
      </c>
      <c r="M320" s="7" t="s">
        <v>811</v>
      </c>
      <c r="N320" s="2" t="s">
        <v>3268</v>
      </c>
      <c r="O320" s="2"/>
      <c r="P320" s="2" t="s">
        <v>3170</v>
      </c>
      <c r="Q320" s="2" t="s">
        <v>3162</v>
      </c>
      <c r="R320" s="2" t="s">
        <v>3159</v>
      </c>
      <c r="S320" s="2" t="s">
        <v>2339</v>
      </c>
      <c r="T320" s="2" t="s">
        <v>2367</v>
      </c>
      <c r="U320" s="2" t="s">
        <v>91</v>
      </c>
      <c r="V320" s="2" t="s">
        <v>2447</v>
      </c>
      <c r="W320" s="2"/>
      <c r="Y320" t="str">
        <f>PROPER(Table1[[#This Row],[Industry]])</f>
        <v>Хорека, Болничен Персонал, Фармацевтика</v>
      </c>
      <c r="Z320" t="str">
        <f>PROPER(Table1[[#This Row],[Insole]])</f>
        <v>Текстил, Интегрирана Стелка</v>
      </c>
    </row>
    <row r="321" spans="1:26" ht="12.75" customHeight="1" x14ac:dyDescent="0.2">
      <c r="A321" s="2" t="s">
        <v>936</v>
      </c>
      <c r="B321" s="2" t="s">
        <v>937</v>
      </c>
      <c r="C321" s="2" t="s">
        <v>938</v>
      </c>
      <c r="D321" s="2" t="s">
        <v>2246</v>
      </c>
      <c r="E321" s="2" t="s">
        <v>2771</v>
      </c>
      <c r="F321" s="2"/>
      <c r="G321" s="2" t="s">
        <v>810</v>
      </c>
      <c r="H321" s="2" t="s">
        <v>536</v>
      </c>
      <c r="I321" s="2" t="s">
        <v>3111</v>
      </c>
      <c r="J321" s="2" t="s">
        <v>3191</v>
      </c>
      <c r="K321" s="2" t="s">
        <v>2241</v>
      </c>
      <c r="L321" s="2" t="s">
        <v>41</v>
      </c>
      <c r="M321" s="7" t="s">
        <v>811</v>
      </c>
      <c r="N321" s="2" t="s">
        <v>3268</v>
      </c>
      <c r="O321" s="2"/>
      <c r="P321" s="2" t="s">
        <v>3170</v>
      </c>
      <c r="Q321" s="2" t="s">
        <v>3162</v>
      </c>
      <c r="R321" s="2" t="s">
        <v>3159</v>
      </c>
      <c r="S321" s="2" t="s">
        <v>2339</v>
      </c>
      <c r="T321" s="2" t="s">
        <v>2367</v>
      </c>
      <c r="U321" s="2" t="s">
        <v>818</v>
      </c>
      <c r="V321" s="2" t="s">
        <v>2447</v>
      </c>
      <c r="W321" s="2"/>
      <c r="Y321" t="str">
        <f>PROPER(Table1[[#This Row],[Industry]])</f>
        <v>Хорека, Болничен Персонал, Фармацевтика</v>
      </c>
      <c r="Z321" t="str">
        <f>PROPER(Table1[[#This Row],[Insole]])</f>
        <v>Текстил, Интегрирана Стелка</v>
      </c>
    </row>
    <row r="322" spans="1:26" ht="12.75" customHeight="1" x14ac:dyDescent="0.2">
      <c r="A322" s="2" t="s">
        <v>930</v>
      </c>
      <c r="B322" s="2" t="s">
        <v>931</v>
      </c>
      <c r="C322" s="2" t="s">
        <v>932</v>
      </c>
      <c r="D322" s="2" t="s">
        <v>2229</v>
      </c>
      <c r="E322" s="2" t="s">
        <v>2769</v>
      </c>
      <c r="F322" s="2"/>
      <c r="G322" s="2" t="s">
        <v>810</v>
      </c>
      <c r="H322" s="2" t="s">
        <v>536</v>
      </c>
      <c r="I322" s="2" t="s">
        <v>3111</v>
      </c>
      <c r="J322" s="2" t="s">
        <v>3191</v>
      </c>
      <c r="K322" s="2" t="s">
        <v>2211</v>
      </c>
      <c r="L322" s="2" t="s">
        <v>41</v>
      </c>
      <c r="M322" s="7" t="s">
        <v>811</v>
      </c>
      <c r="N322" s="2" t="s">
        <v>3268</v>
      </c>
      <c r="O322" s="2"/>
      <c r="P322" s="2" t="s">
        <v>3170</v>
      </c>
      <c r="Q322" s="2" t="s">
        <v>3162</v>
      </c>
      <c r="R322" s="2" t="s">
        <v>3159</v>
      </c>
      <c r="S322" s="2" t="s">
        <v>2339</v>
      </c>
      <c r="T322" s="2" t="s">
        <v>2367</v>
      </c>
      <c r="U322" s="2" t="s">
        <v>818</v>
      </c>
      <c r="V322" s="2" t="s">
        <v>2446</v>
      </c>
      <c r="W322" s="2"/>
      <c r="Y322" t="str">
        <f>PROPER(Table1[[#This Row],[Industry]])</f>
        <v>Хорека, Болничен Персонал, Фармацевтика</v>
      </c>
      <c r="Z322" t="str">
        <f>PROPER(Table1[[#This Row],[Insole]])</f>
        <v>Текстил, Интегрирана Стелка</v>
      </c>
    </row>
    <row r="323" spans="1:26" ht="12.75" customHeight="1" x14ac:dyDescent="0.2">
      <c r="A323" s="2" t="s">
        <v>921</v>
      </c>
      <c r="B323" s="2" t="s">
        <v>922</v>
      </c>
      <c r="C323" s="2" t="s">
        <v>923</v>
      </c>
      <c r="D323" s="2" t="s">
        <v>2178</v>
      </c>
      <c r="E323" s="2" t="s">
        <v>2766</v>
      </c>
      <c r="F323" s="2"/>
      <c r="G323" s="2" t="s">
        <v>810</v>
      </c>
      <c r="H323" s="2" t="s">
        <v>536</v>
      </c>
      <c r="I323" s="2" t="s">
        <v>3106</v>
      </c>
      <c r="J323" s="2" t="s">
        <v>3191</v>
      </c>
      <c r="K323" s="2" t="s">
        <v>1787</v>
      </c>
      <c r="L323" s="2" t="s">
        <v>41</v>
      </c>
      <c r="M323" s="7" t="s">
        <v>811</v>
      </c>
      <c r="N323" s="2" t="s">
        <v>3268</v>
      </c>
      <c r="O323" s="2"/>
      <c r="P323" s="2" t="s">
        <v>3170</v>
      </c>
      <c r="Q323" s="2" t="s">
        <v>3162</v>
      </c>
      <c r="R323" s="2" t="s">
        <v>3159</v>
      </c>
      <c r="S323" s="2" t="s">
        <v>2339</v>
      </c>
      <c r="T323" s="2" t="s">
        <v>2367</v>
      </c>
      <c r="U323" s="2" t="s">
        <v>91</v>
      </c>
      <c r="V323" s="2" t="s">
        <v>2447</v>
      </c>
      <c r="W323" s="2"/>
      <c r="Y323" t="str">
        <f>PROPER(Table1[[#This Row],[Industry]])</f>
        <v>Гастрономия / Кухня, Хорека, Болничен Персонал, Фармацевтика</v>
      </c>
      <c r="Z323" t="str">
        <f>PROPER(Table1[[#This Row],[Insole]])</f>
        <v>Текстил, Интегрирана Стелка</v>
      </c>
    </row>
    <row r="324" spans="1:26" ht="12.75" customHeight="1" x14ac:dyDescent="0.2">
      <c r="A324" s="2" t="s">
        <v>1491</v>
      </c>
      <c r="B324" s="2" t="s">
        <v>1492</v>
      </c>
      <c r="C324" s="2" t="s">
        <v>1493</v>
      </c>
      <c r="D324" s="2" t="s">
        <v>2162</v>
      </c>
      <c r="E324" s="2" t="s">
        <v>2949</v>
      </c>
      <c r="F324" s="2"/>
      <c r="G324" s="2" t="s">
        <v>810</v>
      </c>
      <c r="H324" s="2" t="s">
        <v>536</v>
      </c>
      <c r="I324" s="2" t="s">
        <v>3111</v>
      </c>
      <c r="J324" s="2" t="s">
        <v>3191</v>
      </c>
      <c r="K324" s="2" t="s">
        <v>1984</v>
      </c>
      <c r="L324" s="2" t="s">
        <v>41</v>
      </c>
      <c r="M324" s="7" t="s">
        <v>1490</v>
      </c>
      <c r="N324" s="2" t="s">
        <v>3205</v>
      </c>
      <c r="O324" s="2"/>
      <c r="P324" s="2" t="s">
        <v>3173</v>
      </c>
      <c r="Q324" s="2" t="s">
        <v>3162</v>
      </c>
      <c r="R324" s="2" t="s">
        <v>3159</v>
      </c>
      <c r="S324" s="2" t="s">
        <v>2341</v>
      </c>
      <c r="T324" s="2" t="s">
        <v>2367</v>
      </c>
      <c r="U324" s="2" t="s">
        <v>537</v>
      </c>
      <c r="V324" s="2" t="s">
        <v>2454</v>
      </c>
      <c r="W324" s="2"/>
      <c r="Y324" t="str">
        <f>PROPER(Table1[[#This Row],[Industry]])</f>
        <v>Хорека, Болничен Персонал, Фармацевтика</v>
      </c>
      <c r="Z324" t="str">
        <f>PROPER(Table1[[#This Row],[Insole]])</f>
        <v>Текстил, Интегрирана Стелка</v>
      </c>
    </row>
    <row r="325" spans="1:26" ht="12.75" customHeight="1" x14ac:dyDescent="0.2">
      <c r="A325" s="2" t="s">
        <v>1494</v>
      </c>
      <c r="B325" s="2" t="s">
        <v>1495</v>
      </c>
      <c r="C325" s="2" t="s">
        <v>1496</v>
      </c>
      <c r="D325" s="2" t="s">
        <v>2163</v>
      </c>
      <c r="E325" s="2" t="s">
        <v>2950</v>
      </c>
      <c r="F325" s="2"/>
      <c r="G325" s="2" t="s">
        <v>810</v>
      </c>
      <c r="H325" s="2" t="s">
        <v>536</v>
      </c>
      <c r="I325" s="2" t="s">
        <v>3111</v>
      </c>
      <c r="J325" s="2" t="s">
        <v>3191</v>
      </c>
      <c r="K325" s="2" t="s">
        <v>1984</v>
      </c>
      <c r="L325" s="2" t="s">
        <v>41</v>
      </c>
      <c r="M325" s="7" t="s">
        <v>1490</v>
      </c>
      <c r="N325" s="2" t="s">
        <v>3205</v>
      </c>
      <c r="O325" s="2"/>
      <c r="P325" s="2" t="s">
        <v>3173</v>
      </c>
      <c r="Q325" s="2" t="s">
        <v>3162</v>
      </c>
      <c r="R325" s="2" t="s">
        <v>3159</v>
      </c>
      <c r="S325" s="2" t="s">
        <v>2341</v>
      </c>
      <c r="T325" s="2" t="s">
        <v>2367</v>
      </c>
      <c r="U325" s="2" t="s">
        <v>818</v>
      </c>
      <c r="V325" s="2" t="s">
        <v>2455</v>
      </c>
      <c r="W325" s="2"/>
      <c r="Y325" t="str">
        <f>PROPER(Table1[[#This Row],[Industry]])</f>
        <v>Хорека, Болничен Персонал, Фармацевтика</v>
      </c>
      <c r="Z325" t="str">
        <f>PROPER(Table1[[#This Row],[Insole]])</f>
        <v>Текстил, Интегрирана Стелка</v>
      </c>
    </row>
    <row r="326" spans="1:26" ht="12.75" customHeight="1" x14ac:dyDescent="0.2">
      <c r="A326" s="2" t="s">
        <v>1497</v>
      </c>
      <c r="B326" s="2" t="s">
        <v>1498</v>
      </c>
      <c r="C326" s="2" t="s">
        <v>1499</v>
      </c>
      <c r="D326" s="2" t="s">
        <v>2164</v>
      </c>
      <c r="E326" s="2" t="s">
        <v>2951</v>
      </c>
      <c r="F326" s="2"/>
      <c r="G326" s="2" t="s">
        <v>810</v>
      </c>
      <c r="H326" s="2" t="s">
        <v>536</v>
      </c>
      <c r="I326" s="2" t="s">
        <v>3111</v>
      </c>
      <c r="J326" s="2" t="s">
        <v>3191</v>
      </c>
      <c r="K326" s="2" t="s">
        <v>1984</v>
      </c>
      <c r="L326" s="2" t="s">
        <v>41</v>
      </c>
      <c r="M326" s="7" t="s">
        <v>1490</v>
      </c>
      <c r="N326" s="2" t="s">
        <v>3205</v>
      </c>
      <c r="O326" s="2"/>
      <c r="P326" s="2" t="s">
        <v>3173</v>
      </c>
      <c r="Q326" s="2" t="s">
        <v>3162</v>
      </c>
      <c r="R326" s="2" t="s">
        <v>3159</v>
      </c>
      <c r="S326" s="2" t="s">
        <v>2341</v>
      </c>
      <c r="T326" s="2" t="s">
        <v>2367</v>
      </c>
      <c r="U326" s="2" t="s">
        <v>537</v>
      </c>
      <c r="V326" s="2" t="s">
        <v>2440</v>
      </c>
      <c r="W326" s="2"/>
      <c r="Y326" t="str">
        <f>PROPER(Table1[[#This Row],[Industry]])</f>
        <v>Хорека, Болничен Персонал, Фармацевтика</v>
      </c>
      <c r="Z326" t="str">
        <f>PROPER(Table1[[#This Row],[Insole]])</f>
        <v>Текстил, Интегрирана Стелка</v>
      </c>
    </row>
    <row r="327" spans="1:26" ht="12.75" customHeight="1" x14ac:dyDescent="0.2">
      <c r="A327" s="2" t="s">
        <v>1500</v>
      </c>
      <c r="B327" s="2" t="s">
        <v>1501</v>
      </c>
      <c r="C327" s="2" t="s">
        <v>1502</v>
      </c>
      <c r="D327" s="2" t="s">
        <v>2165</v>
      </c>
      <c r="E327" s="2" t="s">
        <v>2952</v>
      </c>
      <c r="F327" s="2"/>
      <c r="G327" s="2" t="s">
        <v>810</v>
      </c>
      <c r="H327" s="2" t="s">
        <v>536</v>
      </c>
      <c r="I327" s="2" t="s">
        <v>3111</v>
      </c>
      <c r="J327" s="2" t="s">
        <v>3191</v>
      </c>
      <c r="K327" s="2" t="s">
        <v>1984</v>
      </c>
      <c r="L327" s="2" t="s">
        <v>41</v>
      </c>
      <c r="M327" s="7" t="s">
        <v>1490</v>
      </c>
      <c r="N327" s="2" t="s">
        <v>3205</v>
      </c>
      <c r="O327" s="2"/>
      <c r="P327" s="2" t="s">
        <v>3173</v>
      </c>
      <c r="Q327" s="2" t="s">
        <v>3162</v>
      </c>
      <c r="R327" s="2" t="s">
        <v>3159</v>
      </c>
      <c r="S327" s="2" t="s">
        <v>2341</v>
      </c>
      <c r="T327" s="2" t="s">
        <v>2367</v>
      </c>
      <c r="U327" s="2" t="s">
        <v>818</v>
      </c>
      <c r="V327" s="2" t="s">
        <v>2462</v>
      </c>
      <c r="W327" s="2"/>
      <c r="Y327" t="str">
        <f>PROPER(Table1[[#This Row],[Industry]])</f>
        <v>Хорека, Болничен Персонал, Фармацевтика</v>
      </c>
      <c r="Z327" t="str">
        <f>PROPER(Table1[[#This Row],[Insole]])</f>
        <v>Текстил, Интегрирана Стелка</v>
      </c>
    </row>
    <row r="328" spans="1:26" ht="12.75" customHeight="1" x14ac:dyDescent="0.2">
      <c r="A328" s="2" t="s">
        <v>1503</v>
      </c>
      <c r="B328" s="2" t="s">
        <v>1504</v>
      </c>
      <c r="C328" s="2" t="s">
        <v>1505</v>
      </c>
      <c r="D328" s="2" t="s">
        <v>2196</v>
      </c>
      <c r="E328" s="2" t="s">
        <v>2953</v>
      </c>
      <c r="F328" s="2"/>
      <c r="G328" s="2" t="s">
        <v>810</v>
      </c>
      <c r="H328" s="2" t="s">
        <v>536</v>
      </c>
      <c r="I328" s="2" t="s">
        <v>3111</v>
      </c>
      <c r="J328" s="2" t="s">
        <v>3191</v>
      </c>
      <c r="K328" s="2" t="s">
        <v>1787</v>
      </c>
      <c r="L328" s="2" t="s">
        <v>41</v>
      </c>
      <c r="M328" s="7" t="s">
        <v>1490</v>
      </c>
      <c r="N328" s="2" t="s">
        <v>3205</v>
      </c>
      <c r="O328" s="2"/>
      <c r="P328" s="2" t="s">
        <v>3173</v>
      </c>
      <c r="Q328" s="2" t="s">
        <v>3162</v>
      </c>
      <c r="R328" s="2" t="s">
        <v>3159</v>
      </c>
      <c r="S328" s="2" t="s">
        <v>2341</v>
      </c>
      <c r="T328" s="2" t="s">
        <v>2367</v>
      </c>
      <c r="U328" s="2" t="s">
        <v>537</v>
      </c>
      <c r="V328" s="2" t="s">
        <v>2457</v>
      </c>
      <c r="W328" s="2"/>
      <c r="Y328" t="str">
        <f>PROPER(Table1[[#This Row],[Industry]])</f>
        <v>Хорека, Болничен Персонал, Фармацевтика</v>
      </c>
      <c r="Z328" t="str">
        <f>PROPER(Table1[[#This Row],[Insole]])</f>
        <v>Текстил, Интегрирана Стелка</v>
      </c>
    </row>
    <row r="329" spans="1:26" ht="12.75" customHeight="1" x14ac:dyDescent="0.2">
      <c r="A329" s="2" t="s">
        <v>1506</v>
      </c>
      <c r="B329" s="2" t="s">
        <v>1507</v>
      </c>
      <c r="C329" s="2" t="s">
        <v>1508</v>
      </c>
      <c r="D329" s="2" t="s">
        <v>2197</v>
      </c>
      <c r="E329" s="2" t="s">
        <v>2954</v>
      </c>
      <c r="F329" s="2"/>
      <c r="G329" s="2" t="s">
        <v>810</v>
      </c>
      <c r="H329" s="2" t="s">
        <v>536</v>
      </c>
      <c r="I329" s="2" t="s">
        <v>3111</v>
      </c>
      <c r="J329" s="2" t="s">
        <v>3191</v>
      </c>
      <c r="K329" s="2" t="s">
        <v>1787</v>
      </c>
      <c r="L329" s="2" t="s">
        <v>41</v>
      </c>
      <c r="M329" s="7" t="s">
        <v>1490</v>
      </c>
      <c r="N329" s="2" t="s">
        <v>3205</v>
      </c>
      <c r="O329" s="2"/>
      <c r="P329" s="2" t="s">
        <v>3173</v>
      </c>
      <c r="Q329" s="2" t="s">
        <v>3162</v>
      </c>
      <c r="R329" s="2" t="s">
        <v>3159</v>
      </c>
      <c r="S329" s="2" t="s">
        <v>2341</v>
      </c>
      <c r="T329" s="2" t="s">
        <v>2367</v>
      </c>
      <c r="U329" s="2" t="s">
        <v>537</v>
      </c>
      <c r="V329" s="2" t="s">
        <v>2436</v>
      </c>
      <c r="W329" s="2"/>
      <c r="Y329" t="str">
        <f>PROPER(Table1[[#This Row],[Industry]])</f>
        <v>Хорека, Болничен Персонал, Фармацевтика</v>
      </c>
      <c r="Z329" t="str">
        <f>PROPER(Table1[[#This Row],[Insole]])</f>
        <v>Текстил, Интегрирана Стелка</v>
      </c>
    </row>
    <row r="330" spans="1:26" ht="12.75" customHeight="1" x14ac:dyDescent="0.2">
      <c r="A330" s="2" t="s">
        <v>1487</v>
      </c>
      <c r="B330" s="2" t="s">
        <v>1488</v>
      </c>
      <c r="C330" s="2" t="s">
        <v>1489</v>
      </c>
      <c r="D330" s="2" t="s">
        <v>2161</v>
      </c>
      <c r="E330" s="2" t="s">
        <v>2948</v>
      </c>
      <c r="F330" s="2"/>
      <c r="G330" s="2" t="s">
        <v>810</v>
      </c>
      <c r="H330" s="2" t="s">
        <v>536</v>
      </c>
      <c r="I330" s="2" t="s">
        <v>3111</v>
      </c>
      <c r="J330" s="2" t="s">
        <v>3191</v>
      </c>
      <c r="K330" s="2" t="s">
        <v>1984</v>
      </c>
      <c r="L330" s="2" t="s">
        <v>41</v>
      </c>
      <c r="M330" s="7" t="s">
        <v>1490</v>
      </c>
      <c r="N330" s="2" t="s">
        <v>3269</v>
      </c>
      <c r="O330" s="2"/>
      <c r="P330" s="2" t="s">
        <v>3173</v>
      </c>
      <c r="Q330" s="2" t="s">
        <v>3162</v>
      </c>
      <c r="R330" s="2" t="s">
        <v>3159</v>
      </c>
      <c r="S330" s="2" t="s">
        <v>2341</v>
      </c>
      <c r="T330" s="2" t="s">
        <v>2367</v>
      </c>
      <c r="U330" s="2" t="s">
        <v>537</v>
      </c>
      <c r="V330" s="2" t="s">
        <v>2457</v>
      </c>
      <c r="W330" s="2"/>
      <c r="Y330" t="str">
        <f>PROPER(Table1[[#This Row],[Industry]])</f>
        <v>Хорека, Болничен Персонал, Фармацевтика</v>
      </c>
      <c r="Z330" t="str">
        <f>PROPER(Table1[[#This Row],[Insole]])</f>
        <v>Текстил, Интегрирана Стелка</v>
      </c>
    </row>
    <row r="331" spans="1:26" ht="12.75" customHeight="1" x14ac:dyDescent="0.2">
      <c r="A331" s="2" t="s">
        <v>945</v>
      </c>
      <c r="B331" s="2" t="s">
        <v>946</v>
      </c>
      <c r="C331" s="2" t="s">
        <v>947</v>
      </c>
      <c r="D331" s="2" t="s">
        <v>2027</v>
      </c>
      <c r="E331" s="2" t="s">
        <v>2774</v>
      </c>
      <c r="F331" s="2"/>
      <c r="G331" s="2" t="s">
        <v>810</v>
      </c>
      <c r="H331" s="2" t="s">
        <v>536</v>
      </c>
      <c r="I331" s="2" t="s">
        <v>3111</v>
      </c>
      <c r="J331" s="2" t="s">
        <v>3192</v>
      </c>
      <c r="K331" s="2" t="s">
        <v>1984</v>
      </c>
      <c r="L331" s="2" t="s">
        <v>41</v>
      </c>
      <c r="M331" s="7" t="s">
        <v>811</v>
      </c>
      <c r="N331" s="2" t="s">
        <v>3202</v>
      </c>
      <c r="O331" s="2"/>
      <c r="P331" s="2" t="s">
        <v>3170</v>
      </c>
      <c r="Q331" s="2" t="s">
        <v>3172</v>
      </c>
      <c r="R331" s="2" t="s">
        <v>3157</v>
      </c>
      <c r="S331" s="2" t="s">
        <v>2339</v>
      </c>
      <c r="T331" s="2" t="s">
        <v>2361</v>
      </c>
      <c r="U331" s="2" t="s">
        <v>91</v>
      </c>
      <c r="V331" s="2" t="s">
        <v>2372</v>
      </c>
      <c r="W331" s="2"/>
      <c r="Y331" t="str">
        <f>PROPER(Table1[[#This Row],[Industry]])</f>
        <v>Хорека, Болничен Персонал, Фармацевтика</v>
      </c>
      <c r="Z331" t="str">
        <f>PROPER(Table1[[#This Row],[Insole]])</f>
        <v>Кожа, Интегрирана Стелка</v>
      </c>
    </row>
    <row r="332" spans="1:26" ht="12.75" customHeight="1" x14ac:dyDescent="0.2">
      <c r="A332" s="2" t="s">
        <v>948</v>
      </c>
      <c r="B332" s="2" t="s">
        <v>949</v>
      </c>
      <c r="C332" s="2" t="s">
        <v>950</v>
      </c>
      <c r="D332" s="2" t="s">
        <v>1900</v>
      </c>
      <c r="E332" s="2" t="s">
        <v>2775</v>
      </c>
      <c r="F332" s="2"/>
      <c r="G332" s="2" t="s">
        <v>810</v>
      </c>
      <c r="H332" s="2" t="s">
        <v>536</v>
      </c>
      <c r="I332" s="2" t="s">
        <v>3111</v>
      </c>
      <c r="J332" s="2" t="s">
        <v>3192</v>
      </c>
      <c r="K332" s="2" t="s">
        <v>1787</v>
      </c>
      <c r="L332" s="2" t="s">
        <v>41</v>
      </c>
      <c r="M332" s="7" t="s">
        <v>811</v>
      </c>
      <c r="N332" s="2" t="s">
        <v>3202</v>
      </c>
      <c r="O332" s="2"/>
      <c r="P332" s="2" t="s">
        <v>3170</v>
      </c>
      <c r="Q332" s="2" t="s">
        <v>3172</v>
      </c>
      <c r="R332" s="2" t="s">
        <v>3157</v>
      </c>
      <c r="S332" s="2" t="s">
        <v>2339</v>
      </c>
      <c r="T332" s="2" t="s">
        <v>2361</v>
      </c>
      <c r="U332" s="2" t="s">
        <v>91</v>
      </c>
      <c r="V332" s="2" t="s">
        <v>2372</v>
      </c>
      <c r="W332" s="2"/>
      <c r="Y332" t="str">
        <f>PROPER(Table1[[#This Row],[Industry]])</f>
        <v>Хорека, Болничен Персонал, Фармацевтика</v>
      </c>
      <c r="Z332" t="str">
        <f>PROPER(Table1[[#This Row],[Insole]])</f>
        <v>Кожа, Интегрирана Стелка</v>
      </c>
    </row>
    <row r="333" spans="1:26" ht="12.75" customHeight="1" x14ac:dyDescent="0.2">
      <c r="A333" s="2" t="s">
        <v>1509</v>
      </c>
      <c r="B333" s="2" t="s">
        <v>1510</v>
      </c>
      <c r="C333" s="2" t="s">
        <v>1511</v>
      </c>
      <c r="D333" s="2" t="s">
        <v>2074</v>
      </c>
      <c r="E333" s="2" t="s">
        <v>2955</v>
      </c>
      <c r="F333" s="2"/>
      <c r="G333" s="2" t="s">
        <v>810</v>
      </c>
      <c r="H333" s="2" t="s">
        <v>536</v>
      </c>
      <c r="I333" s="2" t="s">
        <v>3111</v>
      </c>
      <c r="J333" s="2" t="s">
        <v>3192</v>
      </c>
      <c r="K333" s="2" t="s">
        <v>1984</v>
      </c>
      <c r="L333" s="2" t="s">
        <v>41</v>
      </c>
      <c r="M333" s="7" t="s">
        <v>1490</v>
      </c>
      <c r="N333" s="2" t="s">
        <v>3205</v>
      </c>
      <c r="O333" s="2"/>
      <c r="P333" s="2" t="s">
        <v>3173</v>
      </c>
      <c r="Q333" s="2" t="s">
        <v>3173</v>
      </c>
      <c r="R333" s="2" t="s">
        <v>3159</v>
      </c>
      <c r="S333" s="2" t="s">
        <v>2341</v>
      </c>
      <c r="T333" s="2" t="s">
        <v>2367</v>
      </c>
      <c r="U333" s="2" t="s">
        <v>818</v>
      </c>
      <c r="V333" s="2" t="s">
        <v>2457</v>
      </c>
      <c r="W333" s="2"/>
      <c r="Y333" t="str">
        <f>PROPER(Table1[[#This Row],[Industry]])</f>
        <v>Хорека, Болничен Персонал, Фармацевтика</v>
      </c>
      <c r="Z333" t="str">
        <f>PROPER(Table1[[#This Row],[Insole]])</f>
        <v>Текстил, Интегрирана Стелка</v>
      </c>
    </row>
    <row r="334" spans="1:26" ht="12.75" customHeight="1" x14ac:dyDescent="0.2">
      <c r="A334" s="2" t="s">
        <v>1041</v>
      </c>
      <c r="B334" s="2" t="s">
        <v>1042</v>
      </c>
      <c r="C334" s="2" t="s">
        <v>1043</v>
      </c>
      <c r="D334" s="2" t="s">
        <v>2145</v>
      </c>
      <c r="E334" s="2" t="s">
        <v>2806</v>
      </c>
      <c r="F334" s="2"/>
      <c r="G334" s="2" t="s">
        <v>1044</v>
      </c>
      <c r="H334" s="2" t="s">
        <v>536</v>
      </c>
      <c r="I334" s="2" t="s">
        <v>3107</v>
      </c>
      <c r="J334" s="2" t="s">
        <v>3191</v>
      </c>
      <c r="K334" s="2" t="s">
        <v>1984</v>
      </c>
      <c r="L334" s="2" t="s">
        <v>41</v>
      </c>
      <c r="M334" s="7" t="s">
        <v>1045</v>
      </c>
      <c r="N334" s="2" t="s">
        <v>3205</v>
      </c>
      <c r="O334" s="2"/>
      <c r="P334" s="2" t="s">
        <v>3173</v>
      </c>
      <c r="Q334" s="2" t="s">
        <v>3162</v>
      </c>
      <c r="R334" s="2" t="s">
        <v>3159</v>
      </c>
      <c r="S334" s="2" t="s">
        <v>2341</v>
      </c>
      <c r="T334" s="2" t="s">
        <v>2367</v>
      </c>
      <c r="U334" s="2" t="s">
        <v>557</v>
      </c>
      <c r="V334" s="2" t="s">
        <v>2452</v>
      </c>
      <c r="W334" s="2"/>
      <c r="Y334" t="str">
        <f>PROPER(Table1[[#This Row],[Industry]])</f>
        <v>Болничен Персонал, Фармацевтика</v>
      </c>
      <c r="Z334" t="str">
        <f>PROPER(Table1[[#This Row],[Insole]])</f>
        <v>Текстил, Интегрирана Стелка</v>
      </c>
    </row>
    <row r="335" spans="1:26" ht="12.75" customHeight="1" x14ac:dyDescent="0.2">
      <c r="A335" s="2" t="s">
        <v>1046</v>
      </c>
      <c r="B335" s="2" t="s">
        <v>1047</v>
      </c>
      <c r="C335" s="2" t="s">
        <v>1048</v>
      </c>
      <c r="D335" s="2" t="s">
        <v>2181</v>
      </c>
      <c r="E335" s="2" t="s">
        <v>2807</v>
      </c>
      <c r="F335" s="2"/>
      <c r="G335" s="2" t="s">
        <v>1044</v>
      </c>
      <c r="H335" s="2" t="s">
        <v>536</v>
      </c>
      <c r="I335" s="2" t="s">
        <v>3107</v>
      </c>
      <c r="J335" s="2" t="s">
        <v>3191</v>
      </c>
      <c r="K335" s="2" t="s">
        <v>1787</v>
      </c>
      <c r="L335" s="2" t="s">
        <v>41</v>
      </c>
      <c r="M335" s="7" t="s">
        <v>1045</v>
      </c>
      <c r="N335" s="2" t="s">
        <v>3205</v>
      </c>
      <c r="O335" s="2"/>
      <c r="P335" s="2" t="s">
        <v>3173</v>
      </c>
      <c r="Q335" s="2" t="s">
        <v>3162</v>
      </c>
      <c r="R335" s="2" t="s">
        <v>3159</v>
      </c>
      <c r="S335" s="2" t="s">
        <v>2341</v>
      </c>
      <c r="T335" s="2" t="s">
        <v>2367</v>
      </c>
      <c r="U335" s="2" t="s">
        <v>557</v>
      </c>
      <c r="V335" s="2" t="s">
        <v>2453</v>
      </c>
      <c r="W335" s="2"/>
      <c r="Y335" t="str">
        <f>PROPER(Table1[[#This Row],[Industry]])</f>
        <v>Болничен Персонал, Фармацевтика</v>
      </c>
      <c r="Z335" t="str">
        <f>PROPER(Table1[[#This Row],[Insole]])</f>
        <v>Текстил, Интегрирана Стелка</v>
      </c>
    </row>
    <row r="336" spans="1:26" ht="12.75" customHeight="1" x14ac:dyDescent="0.2">
      <c r="A336" s="2" t="s">
        <v>1451</v>
      </c>
      <c r="B336" s="2" t="s">
        <v>1452</v>
      </c>
      <c r="C336" s="2" t="s">
        <v>1453</v>
      </c>
      <c r="D336" s="2" t="s">
        <v>2157</v>
      </c>
      <c r="E336" s="2" t="s">
        <v>2936</v>
      </c>
      <c r="F336" s="2"/>
      <c r="G336" s="2" t="s">
        <v>1044</v>
      </c>
      <c r="H336" s="2" t="s">
        <v>536</v>
      </c>
      <c r="I336" s="2" t="s">
        <v>3107</v>
      </c>
      <c r="J336" s="2" t="s">
        <v>3191</v>
      </c>
      <c r="K336" s="2" t="s">
        <v>1984</v>
      </c>
      <c r="L336" s="2" t="s">
        <v>41</v>
      </c>
      <c r="M336" s="7" t="s">
        <v>1045</v>
      </c>
      <c r="N336" s="2" t="s">
        <v>3269</v>
      </c>
      <c r="O336" s="2"/>
      <c r="P336" s="2" t="s">
        <v>3173</v>
      </c>
      <c r="Q336" s="2" t="s">
        <v>3162</v>
      </c>
      <c r="R336" s="2" t="s">
        <v>3159</v>
      </c>
      <c r="S336" s="2" t="s">
        <v>2341</v>
      </c>
      <c r="T336" s="2" t="s">
        <v>2367</v>
      </c>
      <c r="U336" s="2" t="s">
        <v>557</v>
      </c>
      <c r="V336" s="2" t="s">
        <v>2452</v>
      </c>
      <c r="W336" s="2"/>
      <c r="Y336" t="str">
        <f>PROPER(Table1[[#This Row],[Industry]])</f>
        <v>Болничен Персонал, Фармацевтика</v>
      </c>
      <c r="Z336" t="str">
        <f>PROPER(Table1[[#This Row],[Insole]])</f>
        <v>Текстил, Интегрирана Стелка</v>
      </c>
    </row>
    <row r="337" spans="1:26" ht="12.75" customHeight="1" x14ac:dyDescent="0.2">
      <c r="A337" s="2" t="s">
        <v>1454</v>
      </c>
      <c r="B337" s="2" t="s">
        <v>1455</v>
      </c>
      <c r="C337" s="2" t="s">
        <v>1456</v>
      </c>
      <c r="D337" s="2" t="s">
        <v>2192</v>
      </c>
      <c r="E337" s="2" t="s">
        <v>2937</v>
      </c>
      <c r="F337" s="2"/>
      <c r="G337" s="2" t="s">
        <v>1044</v>
      </c>
      <c r="H337" s="2" t="s">
        <v>536</v>
      </c>
      <c r="I337" s="2" t="s">
        <v>3107</v>
      </c>
      <c r="J337" s="2" t="s">
        <v>3191</v>
      </c>
      <c r="K337" s="2" t="s">
        <v>1787</v>
      </c>
      <c r="L337" s="2" t="s">
        <v>41</v>
      </c>
      <c r="M337" s="7" t="s">
        <v>1045</v>
      </c>
      <c r="N337" s="2" t="s">
        <v>3269</v>
      </c>
      <c r="O337" s="2"/>
      <c r="P337" s="2" t="s">
        <v>3173</v>
      </c>
      <c r="Q337" s="2" t="s">
        <v>3162</v>
      </c>
      <c r="R337" s="2" t="s">
        <v>3159</v>
      </c>
      <c r="S337" s="2" t="s">
        <v>2341</v>
      </c>
      <c r="T337" s="2" t="s">
        <v>2367</v>
      </c>
      <c r="U337" s="2" t="s">
        <v>557</v>
      </c>
      <c r="V337" s="2" t="s">
        <v>2452</v>
      </c>
      <c r="W337" s="2"/>
      <c r="Y337" t="str">
        <f>PROPER(Table1[[#This Row],[Industry]])</f>
        <v>Болничен Персонал, Фармацевтика</v>
      </c>
      <c r="Z337" t="str">
        <f>PROPER(Table1[[#This Row],[Insole]])</f>
        <v>Текстил, Интегрирана Стелка</v>
      </c>
    </row>
    <row r="338" spans="1:26" ht="12.75" customHeight="1" x14ac:dyDescent="0.2">
      <c r="A338" s="2" t="s">
        <v>499</v>
      </c>
      <c r="B338" s="2" t="s">
        <v>500</v>
      </c>
      <c r="C338" s="2" t="s">
        <v>501</v>
      </c>
      <c r="D338" s="2" t="s">
        <v>1856</v>
      </c>
      <c r="E338" s="2" t="s">
        <v>2640</v>
      </c>
      <c r="F338" s="2"/>
      <c r="G338" s="2" t="s">
        <v>471</v>
      </c>
      <c r="H338" s="2" t="s">
        <v>35</v>
      </c>
      <c r="I338" s="2" t="s">
        <v>3097</v>
      </c>
      <c r="J338" s="2" t="s">
        <v>1783</v>
      </c>
      <c r="K338" s="2" t="s">
        <v>1787</v>
      </c>
      <c r="L338" s="2" t="s">
        <v>95</v>
      </c>
      <c r="M338" s="7" t="s">
        <v>467</v>
      </c>
      <c r="N338" s="2" t="s">
        <v>3254</v>
      </c>
      <c r="O338" s="3" t="s">
        <v>2323</v>
      </c>
      <c r="P338" s="2" t="s">
        <v>3170</v>
      </c>
      <c r="Q338" s="2" t="s">
        <v>3162</v>
      </c>
      <c r="R338" s="2" t="s">
        <v>3155</v>
      </c>
      <c r="S338" s="2" t="s">
        <v>2326</v>
      </c>
      <c r="T338" s="2" t="s">
        <v>2355</v>
      </c>
      <c r="U338" s="2" t="s">
        <v>49</v>
      </c>
      <c r="V338" s="2" t="s">
        <v>2384</v>
      </c>
      <c r="W338" s="2" t="s">
        <v>49</v>
      </c>
      <c r="Y338" t="str">
        <f>PROPER(Table1[[#This Row],[Industry]])</f>
        <v>Строителство / Довършителни Работи, Лека Индустрия</v>
      </c>
      <c r="Z338" t="str">
        <f>PROPER(Table1[[#This Row],[Insole]])</f>
        <v>Текстил,Сменяема Стелка</v>
      </c>
    </row>
    <row r="339" spans="1:26" ht="12.75" customHeight="1" x14ac:dyDescent="0.2">
      <c r="A339" s="2" t="s">
        <v>490</v>
      </c>
      <c r="B339" s="2" t="s">
        <v>491</v>
      </c>
      <c r="C339" s="2" t="s">
        <v>492</v>
      </c>
      <c r="D339" s="2" t="s">
        <v>1853</v>
      </c>
      <c r="E339" s="2" t="s">
        <v>2637</v>
      </c>
      <c r="F339" s="2"/>
      <c r="G339" s="2" t="s">
        <v>471</v>
      </c>
      <c r="H339" s="2" t="s">
        <v>35</v>
      </c>
      <c r="I339" s="2" t="s">
        <v>3097</v>
      </c>
      <c r="J339" s="2" t="s">
        <v>1783</v>
      </c>
      <c r="K339" s="2" t="s">
        <v>1787</v>
      </c>
      <c r="L339" s="2" t="s">
        <v>95</v>
      </c>
      <c r="M339" s="7" t="s">
        <v>467</v>
      </c>
      <c r="N339" s="2" t="s">
        <v>3255</v>
      </c>
      <c r="O339" s="3" t="s">
        <v>2323</v>
      </c>
      <c r="P339" s="2" t="s">
        <v>3170</v>
      </c>
      <c r="Q339" s="2" t="s">
        <v>3168</v>
      </c>
      <c r="R339" s="2" t="s">
        <v>3155</v>
      </c>
      <c r="S339" s="2" t="s">
        <v>2326</v>
      </c>
      <c r="T339" s="2" t="s">
        <v>2355</v>
      </c>
      <c r="U339" s="2" t="s">
        <v>49</v>
      </c>
      <c r="V339" s="2" t="s">
        <v>2423</v>
      </c>
      <c r="W339" s="2" t="s">
        <v>49</v>
      </c>
      <c r="Y339" t="str">
        <f>PROPER(Table1[[#This Row],[Industry]])</f>
        <v>Строителство / Довършителни Работи, Лека Индустрия</v>
      </c>
      <c r="Z339" t="str">
        <f>PROPER(Table1[[#This Row],[Insole]])</f>
        <v>Текстил,Сменяема Стелка</v>
      </c>
    </row>
    <row r="340" spans="1:26" ht="12.75" customHeight="1" x14ac:dyDescent="0.2">
      <c r="A340" s="2" t="s">
        <v>502</v>
      </c>
      <c r="B340" s="2" t="s">
        <v>503</v>
      </c>
      <c r="C340" s="2" t="s">
        <v>504</v>
      </c>
      <c r="D340" s="2" t="s">
        <v>1857</v>
      </c>
      <c r="E340" s="2" t="s">
        <v>2641</v>
      </c>
      <c r="F340" s="2"/>
      <c r="G340" s="2" t="s">
        <v>471</v>
      </c>
      <c r="H340" s="2" t="s">
        <v>35</v>
      </c>
      <c r="I340" s="2" t="s">
        <v>3097</v>
      </c>
      <c r="J340" s="2" t="s">
        <v>1783</v>
      </c>
      <c r="K340" s="2" t="s">
        <v>1787</v>
      </c>
      <c r="L340" s="2" t="s">
        <v>95</v>
      </c>
      <c r="M340" s="7" t="s">
        <v>467</v>
      </c>
      <c r="N340" s="2" t="s">
        <v>3255</v>
      </c>
      <c r="O340" s="3" t="s">
        <v>2323</v>
      </c>
      <c r="P340" s="2" t="s">
        <v>3170</v>
      </c>
      <c r="Q340" s="2" t="s">
        <v>3168</v>
      </c>
      <c r="R340" s="2" t="s">
        <v>3155</v>
      </c>
      <c r="S340" s="2" t="s">
        <v>2326</v>
      </c>
      <c r="T340" s="2" t="s">
        <v>2355</v>
      </c>
      <c r="U340" s="2" t="s">
        <v>49</v>
      </c>
      <c r="V340" s="2" t="s">
        <v>2382</v>
      </c>
      <c r="W340" s="2" t="s">
        <v>49</v>
      </c>
      <c r="Y340" t="str">
        <f>PROPER(Table1[[#This Row],[Industry]])</f>
        <v>Строителство / Довършителни Работи, Лека Индустрия</v>
      </c>
      <c r="Z340" t="str">
        <f>PROPER(Table1[[#This Row],[Insole]])</f>
        <v>Текстил,Сменяема Стелка</v>
      </c>
    </row>
    <row r="341" spans="1:26" ht="12.75" customHeight="1" x14ac:dyDescent="0.2">
      <c r="A341" s="2" t="s">
        <v>468</v>
      </c>
      <c r="B341" s="2" t="s">
        <v>469</v>
      </c>
      <c r="C341" s="2" t="s">
        <v>470</v>
      </c>
      <c r="D341" s="2" t="s">
        <v>1850</v>
      </c>
      <c r="E341" s="2" t="s">
        <v>2631</v>
      </c>
      <c r="F341" s="2"/>
      <c r="G341" s="2" t="s">
        <v>471</v>
      </c>
      <c r="H341" s="2" t="s">
        <v>35</v>
      </c>
      <c r="I341" s="2" t="s">
        <v>3097</v>
      </c>
      <c r="J341" s="2" t="s">
        <v>1783</v>
      </c>
      <c r="K341" s="2" t="s">
        <v>1787</v>
      </c>
      <c r="L341" s="2" t="s">
        <v>41</v>
      </c>
      <c r="M341" s="7" t="s">
        <v>467</v>
      </c>
      <c r="N341" s="2" t="s">
        <v>3241</v>
      </c>
      <c r="O341" s="3" t="s">
        <v>2323</v>
      </c>
      <c r="P341" s="2" t="s">
        <v>3170</v>
      </c>
      <c r="Q341" s="2" t="s">
        <v>3168</v>
      </c>
      <c r="R341" s="2" t="s">
        <v>3155</v>
      </c>
      <c r="S341" s="2" t="s">
        <v>2326</v>
      </c>
      <c r="T341" s="2" t="s">
        <v>2355</v>
      </c>
      <c r="U341" s="2" t="s">
        <v>49</v>
      </c>
      <c r="V341" s="2" t="s">
        <v>2393</v>
      </c>
      <c r="W341" s="2" t="s">
        <v>49</v>
      </c>
      <c r="Y341" t="str">
        <f>PROPER(Table1[[#This Row],[Industry]])</f>
        <v>Строителство / Довършителни Работи, Лека Индустрия</v>
      </c>
      <c r="Z341" t="str">
        <f>PROPER(Table1[[#This Row],[Insole]])</f>
        <v>Текстил,Сменяема Стелка</v>
      </c>
    </row>
    <row r="342" spans="1:26" ht="12.75" customHeight="1" x14ac:dyDescent="0.2">
      <c r="A342" s="2" t="s">
        <v>347</v>
      </c>
      <c r="B342" s="2" t="s">
        <v>348</v>
      </c>
      <c r="C342" s="2" t="s">
        <v>349</v>
      </c>
      <c r="D342" s="2" t="s">
        <v>2108</v>
      </c>
      <c r="E342" s="2" t="s">
        <v>2598</v>
      </c>
      <c r="F342" s="6" t="s">
        <v>3071</v>
      </c>
      <c r="G342" s="2" t="s">
        <v>290</v>
      </c>
      <c r="H342" s="2" t="s">
        <v>35</v>
      </c>
      <c r="I342" s="2" t="s">
        <v>3125</v>
      </c>
      <c r="J342" s="2" t="s">
        <v>3190</v>
      </c>
      <c r="K342" s="2" t="s">
        <v>2104</v>
      </c>
      <c r="L342" s="2" t="s">
        <v>95</v>
      </c>
      <c r="M342" s="7" t="s">
        <v>117</v>
      </c>
      <c r="N342" s="2" t="s">
        <v>3320</v>
      </c>
      <c r="O342" s="3" t="s">
        <v>3321</v>
      </c>
      <c r="P342" s="2" t="s">
        <v>3174</v>
      </c>
      <c r="Q342" s="2" t="s">
        <v>3168</v>
      </c>
      <c r="R342" s="2" t="s">
        <v>3155</v>
      </c>
      <c r="S342" s="2" t="s">
        <v>3092</v>
      </c>
      <c r="T342" s="2" t="s">
        <v>2355</v>
      </c>
      <c r="U342" s="2" t="s">
        <v>118</v>
      </c>
      <c r="V342" s="2" t="s">
        <v>2382</v>
      </c>
      <c r="W342" s="2" t="s">
        <v>119</v>
      </c>
      <c r="Y342" t="str">
        <f>PROPER(Table1[[#This Row],[Industry]])</f>
        <v>Електронна Индустрия, Лека Индустрия, Транспорт / Склад И Логистика</v>
      </c>
      <c r="Z342" t="str">
        <f>PROPER(Table1[[#This Row],[Insole]])</f>
        <v>Текстил,Сменяема Стелка</v>
      </c>
    </row>
    <row r="343" spans="1:26" ht="12.75" customHeight="1" x14ac:dyDescent="0.2">
      <c r="A343" s="2" t="s">
        <v>375</v>
      </c>
      <c r="B343" s="2" t="s">
        <v>376</v>
      </c>
      <c r="C343" s="2" t="s">
        <v>377</v>
      </c>
      <c r="D343" s="2" t="s">
        <v>2217</v>
      </c>
      <c r="E343" s="2" t="s">
        <v>2607</v>
      </c>
      <c r="F343" s="6" t="s">
        <v>3071</v>
      </c>
      <c r="G343" s="2" t="s">
        <v>290</v>
      </c>
      <c r="H343" s="2" t="s">
        <v>35</v>
      </c>
      <c r="I343" s="2" t="s">
        <v>3125</v>
      </c>
      <c r="J343" s="2" t="s">
        <v>3190</v>
      </c>
      <c r="K343" s="2" t="s">
        <v>2213</v>
      </c>
      <c r="L343" s="2" t="s">
        <v>95</v>
      </c>
      <c r="M343" s="7" t="s">
        <v>117</v>
      </c>
      <c r="N343" s="2" t="s">
        <v>3320</v>
      </c>
      <c r="O343" s="3" t="s">
        <v>3322</v>
      </c>
      <c r="P343" s="2" t="s">
        <v>3174</v>
      </c>
      <c r="Q343" s="2" t="s">
        <v>3168</v>
      </c>
      <c r="R343" s="2" t="s">
        <v>3155</v>
      </c>
      <c r="S343" s="2" t="s">
        <v>3092</v>
      </c>
      <c r="T343" s="2" t="s">
        <v>2355</v>
      </c>
      <c r="U343" s="2" t="s">
        <v>118</v>
      </c>
      <c r="V343" s="2" t="s">
        <v>2382</v>
      </c>
      <c r="W343" s="2" t="s">
        <v>119</v>
      </c>
      <c r="Y343" t="str">
        <f>PROPER(Table1[[#This Row],[Industry]])</f>
        <v>Електронна Индустрия, Лека Индустрия, Транспорт / Склад И Логистика</v>
      </c>
      <c r="Z343" t="str">
        <f>PROPER(Table1[[#This Row],[Insole]])</f>
        <v>Текстил,Сменяема Стелка</v>
      </c>
    </row>
    <row r="344" spans="1:26" ht="12.75" customHeight="1" x14ac:dyDescent="0.2">
      <c r="A344" s="2" t="s">
        <v>291</v>
      </c>
      <c r="B344" s="2" t="s">
        <v>292</v>
      </c>
      <c r="C344" s="2" t="s">
        <v>293</v>
      </c>
      <c r="D344" s="2" t="s">
        <v>1825</v>
      </c>
      <c r="E344" s="2" t="s">
        <v>2581</v>
      </c>
      <c r="F344" s="6" t="s">
        <v>3071</v>
      </c>
      <c r="G344" s="2" t="s">
        <v>290</v>
      </c>
      <c r="H344" s="2" t="s">
        <v>35</v>
      </c>
      <c r="I344" s="2" t="s">
        <v>3125</v>
      </c>
      <c r="J344" s="2" t="s">
        <v>3190</v>
      </c>
      <c r="K344" s="2" t="s">
        <v>1787</v>
      </c>
      <c r="L344" s="2" t="s">
        <v>95</v>
      </c>
      <c r="M344" s="7" t="s">
        <v>117</v>
      </c>
      <c r="N344" s="2" t="s">
        <v>3320</v>
      </c>
      <c r="O344" s="3" t="s">
        <v>3323</v>
      </c>
      <c r="P344" s="2" t="s">
        <v>3174</v>
      </c>
      <c r="Q344" s="2" t="s">
        <v>3168</v>
      </c>
      <c r="R344" s="2" t="s">
        <v>3155</v>
      </c>
      <c r="S344" s="2" t="s">
        <v>3092</v>
      </c>
      <c r="T344" s="2" t="s">
        <v>2355</v>
      </c>
      <c r="U344" s="2" t="s">
        <v>118</v>
      </c>
      <c r="V344" s="2" t="s">
        <v>2382</v>
      </c>
      <c r="W344" s="2" t="s">
        <v>119</v>
      </c>
      <c r="Y344" t="str">
        <f>PROPER(Table1[[#This Row],[Industry]])</f>
        <v>Електронна Индустрия, Лека Индустрия, Транспорт / Склад И Логистика</v>
      </c>
      <c r="Z344" t="str">
        <f>PROPER(Table1[[#This Row],[Insole]])</f>
        <v>Текстил,Сменяема Стелка</v>
      </c>
    </row>
    <row r="345" spans="1:26" ht="12.75" customHeight="1" x14ac:dyDescent="0.2">
      <c r="A345" s="2" t="s">
        <v>350</v>
      </c>
      <c r="B345" s="2" t="s">
        <v>351</v>
      </c>
      <c r="C345" s="2" t="s">
        <v>352</v>
      </c>
      <c r="D345" s="2" t="s">
        <v>2109</v>
      </c>
      <c r="E345" s="2" t="s">
        <v>2599</v>
      </c>
      <c r="F345" s="6" t="s">
        <v>3071</v>
      </c>
      <c r="G345" s="2" t="s">
        <v>290</v>
      </c>
      <c r="H345" s="2" t="s">
        <v>35</v>
      </c>
      <c r="I345" s="2" t="s">
        <v>3125</v>
      </c>
      <c r="J345" s="2" t="s">
        <v>1783</v>
      </c>
      <c r="K345" s="2" t="s">
        <v>2104</v>
      </c>
      <c r="L345" s="2" t="s">
        <v>95</v>
      </c>
      <c r="M345" s="7" t="s">
        <v>117</v>
      </c>
      <c r="N345" s="2" t="s">
        <v>3324</v>
      </c>
      <c r="O345" s="3" t="s">
        <v>3325</v>
      </c>
      <c r="P345" s="2" t="s">
        <v>3174</v>
      </c>
      <c r="Q345" s="2" t="s">
        <v>3168</v>
      </c>
      <c r="R345" s="2" t="s">
        <v>3155</v>
      </c>
      <c r="S345" s="2" t="s">
        <v>3092</v>
      </c>
      <c r="T345" s="2" t="s">
        <v>2355</v>
      </c>
      <c r="U345" s="2" t="s">
        <v>118</v>
      </c>
      <c r="V345" s="2" t="s">
        <v>2386</v>
      </c>
      <c r="W345" s="2" t="s">
        <v>119</v>
      </c>
      <c r="Y345" t="str">
        <f>PROPER(Table1[[#This Row],[Industry]])</f>
        <v>Електронна Индустрия, Лека Индустрия, Транспорт / Склад И Логистика</v>
      </c>
      <c r="Z345" t="str">
        <f>PROPER(Table1[[#This Row],[Insole]])</f>
        <v>Текстил,Сменяема Стелка</v>
      </c>
    </row>
    <row r="346" spans="1:26" ht="12.75" customHeight="1" x14ac:dyDescent="0.2">
      <c r="A346" s="2" t="s">
        <v>378</v>
      </c>
      <c r="B346" s="2" t="s">
        <v>379</v>
      </c>
      <c r="C346" s="2" t="s">
        <v>380</v>
      </c>
      <c r="D346" s="2" t="s">
        <v>2218</v>
      </c>
      <c r="E346" s="2" t="s">
        <v>2608</v>
      </c>
      <c r="F346" s="6" t="s">
        <v>3071</v>
      </c>
      <c r="G346" s="2" t="s">
        <v>290</v>
      </c>
      <c r="H346" s="2" t="s">
        <v>35</v>
      </c>
      <c r="I346" s="2" t="s">
        <v>3125</v>
      </c>
      <c r="J346" s="2" t="s">
        <v>1783</v>
      </c>
      <c r="K346" s="2" t="s">
        <v>2213</v>
      </c>
      <c r="L346" s="2" t="s">
        <v>95</v>
      </c>
      <c r="M346" s="7" t="s">
        <v>117</v>
      </c>
      <c r="N346" s="2" t="s">
        <v>3324</v>
      </c>
      <c r="O346" s="3" t="s">
        <v>3326</v>
      </c>
      <c r="P346" s="2" t="s">
        <v>3174</v>
      </c>
      <c r="Q346" s="2" t="s">
        <v>3168</v>
      </c>
      <c r="R346" s="2" t="s">
        <v>3155</v>
      </c>
      <c r="S346" s="2" t="s">
        <v>3092</v>
      </c>
      <c r="T346" s="2" t="s">
        <v>2355</v>
      </c>
      <c r="U346" s="2" t="s">
        <v>118</v>
      </c>
      <c r="V346" s="2" t="s">
        <v>2386</v>
      </c>
      <c r="W346" s="2" t="s">
        <v>119</v>
      </c>
      <c r="Y346" t="str">
        <f>PROPER(Table1[[#This Row],[Industry]])</f>
        <v>Електронна Индустрия, Лека Индустрия, Транспорт / Склад И Логистика</v>
      </c>
      <c r="Z346" t="str">
        <f>PROPER(Table1[[#This Row],[Insole]])</f>
        <v>Текстил,Сменяема Стелка</v>
      </c>
    </row>
    <row r="347" spans="1:26" ht="12.75" customHeight="1" x14ac:dyDescent="0.2">
      <c r="A347" s="2" t="s">
        <v>294</v>
      </c>
      <c r="B347" s="2" t="s">
        <v>295</v>
      </c>
      <c r="C347" s="2" t="s">
        <v>296</v>
      </c>
      <c r="D347" s="2" t="s">
        <v>1826</v>
      </c>
      <c r="E347" s="2" t="s">
        <v>2582</v>
      </c>
      <c r="F347" s="6" t="s">
        <v>3071</v>
      </c>
      <c r="G347" s="2" t="s">
        <v>290</v>
      </c>
      <c r="H347" s="2" t="s">
        <v>35</v>
      </c>
      <c r="I347" s="2" t="s">
        <v>3125</v>
      </c>
      <c r="J347" s="2" t="s">
        <v>1783</v>
      </c>
      <c r="K347" s="2" t="s">
        <v>1787</v>
      </c>
      <c r="L347" s="2" t="s">
        <v>95</v>
      </c>
      <c r="M347" s="7" t="s">
        <v>117</v>
      </c>
      <c r="N347" s="2" t="s">
        <v>3324</v>
      </c>
      <c r="O347" s="3" t="s">
        <v>3327</v>
      </c>
      <c r="P347" s="2" t="s">
        <v>3174</v>
      </c>
      <c r="Q347" s="2" t="s">
        <v>3168</v>
      </c>
      <c r="R347" s="2" t="s">
        <v>3155</v>
      </c>
      <c r="S347" s="2" t="s">
        <v>3092</v>
      </c>
      <c r="T347" s="2" t="s">
        <v>2355</v>
      </c>
      <c r="U347" s="2" t="s">
        <v>118</v>
      </c>
      <c r="V347" s="2" t="s">
        <v>2386</v>
      </c>
      <c r="W347" s="2" t="s">
        <v>119</v>
      </c>
      <c r="Y347" t="str">
        <f>PROPER(Table1[[#This Row],[Industry]])</f>
        <v>Електронна Индустрия, Лека Индустрия, Транспорт / Склад И Логистика</v>
      </c>
      <c r="Z347" t="str">
        <f>PROPER(Table1[[#This Row],[Insole]])</f>
        <v>Текстил,Сменяема Стелка</v>
      </c>
    </row>
    <row r="348" spans="1:26" ht="12.75" customHeight="1" x14ac:dyDescent="0.2">
      <c r="A348" s="2" t="s">
        <v>344</v>
      </c>
      <c r="B348" s="2" t="s">
        <v>345</v>
      </c>
      <c r="C348" s="2" t="s">
        <v>346</v>
      </c>
      <c r="D348" s="2" t="s">
        <v>2107</v>
      </c>
      <c r="E348" s="2" t="s">
        <v>2597</v>
      </c>
      <c r="F348" s="6" t="s">
        <v>3071</v>
      </c>
      <c r="G348" s="2" t="s">
        <v>290</v>
      </c>
      <c r="H348" s="2" t="s">
        <v>35</v>
      </c>
      <c r="I348" s="2" t="s">
        <v>3125</v>
      </c>
      <c r="J348" s="2" t="s">
        <v>3192</v>
      </c>
      <c r="K348" s="2" t="s">
        <v>2104</v>
      </c>
      <c r="L348" s="2" t="s">
        <v>95</v>
      </c>
      <c r="M348" s="7" t="s">
        <v>117</v>
      </c>
      <c r="N348" s="2" t="s">
        <v>3264</v>
      </c>
      <c r="O348" s="3" t="s">
        <v>3265</v>
      </c>
      <c r="P348" s="2" t="s">
        <v>3174</v>
      </c>
      <c r="Q348" s="2" t="s">
        <v>3168</v>
      </c>
      <c r="R348" s="2" t="s">
        <v>3155</v>
      </c>
      <c r="S348" s="2" t="s">
        <v>3092</v>
      </c>
      <c r="T348" s="2" t="s">
        <v>2355</v>
      </c>
      <c r="U348" s="2" t="s">
        <v>118</v>
      </c>
      <c r="V348" s="2" t="s">
        <v>2382</v>
      </c>
      <c r="W348" s="2" t="s">
        <v>119</v>
      </c>
      <c r="Y348" t="str">
        <f>PROPER(Table1[[#This Row],[Industry]])</f>
        <v>Електронна Индустрия, Лека Индустрия, Транспорт / Склад И Логистика</v>
      </c>
      <c r="Z348" t="str">
        <f>PROPER(Table1[[#This Row],[Insole]])</f>
        <v>Текстил,Сменяема Стелка</v>
      </c>
    </row>
    <row r="349" spans="1:26" ht="12.75" customHeight="1" x14ac:dyDescent="0.2">
      <c r="A349" s="2" t="s">
        <v>287</v>
      </c>
      <c r="B349" s="2" t="s">
        <v>288</v>
      </c>
      <c r="C349" s="2" t="s">
        <v>289</v>
      </c>
      <c r="D349" s="2" t="s">
        <v>1824</v>
      </c>
      <c r="E349" s="2" t="s">
        <v>2580</v>
      </c>
      <c r="F349" s="6" t="s">
        <v>3071</v>
      </c>
      <c r="G349" s="2" t="s">
        <v>290</v>
      </c>
      <c r="H349" s="2" t="s">
        <v>35</v>
      </c>
      <c r="I349" s="2" t="s">
        <v>3125</v>
      </c>
      <c r="J349" s="2" t="s">
        <v>3192</v>
      </c>
      <c r="K349" s="2" t="s">
        <v>1787</v>
      </c>
      <c r="L349" s="2" t="s">
        <v>95</v>
      </c>
      <c r="M349" s="7" t="s">
        <v>117</v>
      </c>
      <c r="N349" s="2" t="s">
        <v>3264</v>
      </c>
      <c r="O349" s="3" t="s">
        <v>3265</v>
      </c>
      <c r="P349" s="2" t="s">
        <v>3174</v>
      </c>
      <c r="Q349" s="2" t="s">
        <v>3168</v>
      </c>
      <c r="R349" s="2" t="s">
        <v>3155</v>
      </c>
      <c r="S349" s="2" t="s">
        <v>3092</v>
      </c>
      <c r="T349" s="2" t="s">
        <v>2355</v>
      </c>
      <c r="U349" s="2" t="s">
        <v>118</v>
      </c>
      <c r="V349" s="2" t="s">
        <v>2382</v>
      </c>
      <c r="W349" s="2" t="s">
        <v>119</v>
      </c>
      <c r="Y349" t="str">
        <f>PROPER(Table1[[#This Row],[Industry]])</f>
        <v>Електронна Индустрия, Лека Индустрия, Транспорт / Склад И Логистика</v>
      </c>
      <c r="Z349" t="str">
        <f>PROPER(Table1[[#This Row],[Insole]])</f>
        <v>Текстил,Сменяема Стелка</v>
      </c>
    </row>
    <row r="350" spans="1:26" ht="12.75" customHeight="1" x14ac:dyDescent="0.2">
      <c r="A350" s="2" t="s">
        <v>372</v>
      </c>
      <c r="B350" s="2" t="s">
        <v>373</v>
      </c>
      <c r="C350" s="2" t="s">
        <v>374</v>
      </c>
      <c r="D350" s="2" t="s">
        <v>2216</v>
      </c>
      <c r="E350" s="2" t="s">
        <v>2606</v>
      </c>
      <c r="F350" s="6" t="s">
        <v>3071</v>
      </c>
      <c r="G350" s="2" t="s">
        <v>290</v>
      </c>
      <c r="H350" s="2" t="s">
        <v>35</v>
      </c>
      <c r="I350" s="2" t="s">
        <v>3125</v>
      </c>
      <c r="J350" s="2" t="s">
        <v>3192</v>
      </c>
      <c r="K350" s="2" t="s">
        <v>2213</v>
      </c>
      <c r="L350" s="2" t="s">
        <v>95</v>
      </c>
      <c r="M350" s="7" t="s">
        <v>117</v>
      </c>
      <c r="N350" s="2" t="s">
        <v>3264</v>
      </c>
      <c r="O350" s="3" t="s">
        <v>3266</v>
      </c>
      <c r="P350" s="2" t="s">
        <v>3174</v>
      </c>
      <c r="Q350" s="2" t="s">
        <v>3168</v>
      </c>
      <c r="R350" s="2" t="s">
        <v>3155</v>
      </c>
      <c r="S350" s="2" t="s">
        <v>3092</v>
      </c>
      <c r="T350" s="2" t="s">
        <v>2355</v>
      </c>
      <c r="U350" s="2" t="s">
        <v>118</v>
      </c>
      <c r="V350" s="2" t="s">
        <v>2382</v>
      </c>
      <c r="W350" s="2" t="s">
        <v>119</v>
      </c>
      <c r="Y350" t="str">
        <f>PROPER(Table1[[#This Row],[Industry]])</f>
        <v>Електронна Индустрия, Лека Индустрия, Транспорт / Склад И Логистика</v>
      </c>
      <c r="Z350" t="str">
        <f>PROPER(Table1[[#This Row],[Insole]])</f>
        <v>Текстил,Сменяема Стелка</v>
      </c>
    </row>
    <row r="351" spans="1:26" ht="12.75" customHeight="1" x14ac:dyDescent="0.2">
      <c r="A351" s="2" t="s">
        <v>120</v>
      </c>
      <c r="B351" s="2" t="s">
        <v>121</v>
      </c>
      <c r="C351" s="2" t="s">
        <v>122</v>
      </c>
      <c r="D351" s="2" t="s">
        <v>1800</v>
      </c>
      <c r="E351" s="2" t="s">
        <v>2536</v>
      </c>
      <c r="F351" s="6" t="s">
        <v>3042</v>
      </c>
      <c r="G351" s="2" t="s">
        <v>116</v>
      </c>
      <c r="H351" s="2" t="s">
        <v>35</v>
      </c>
      <c r="I351" s="2" t="s">
        <v>3135</v>
      </c>
      <c r="J351" s="2" t="s">
        <v>3190</v>
      </c>
      <c r="K351" s="2" t="s">
        <v>1787</v>
      </c>
      <c r="L351" s="2" t="s">
        <v>95</v>
      </c>
      <c r="M351" s="7" t="s">
        <v>117</v>
      </c>
      <c r="N351" s="2" t="s">
        <v>3288</v>
      </c>
      <c r="O351" s="3" t="s">
        <v>3289</v>
      </c>
      <c r="P351" s="2" t="s">
        <v>3170</v>
      </c>
      <c r="Q351" s="2" t="s">
        <v>3168</v>
      </c>
      <c r="R351" s="2" t="s">
        <v>3155</v>
      </c>
      <c r="S351" s="2" t="s">
        <v>3092</v>
      </c>
      <c r="T351" s="2" t="s">
        <v>2355</v>
      </c>
      <c r="U351" s="2" t="s">
        <v>118</v>
      </c>
      <c r="V351" s="2" t="s">
        <v>2385</v>
      </c>
      <c r="W351" s="2" t="s">
        <v>119</v>
      </c>
      <c r="Y351" t="str">
        <f>PROPER(Table1[[#This Row],[Industry]])</f>
        <v>Автомобилен Сервиз/ Сервизна Поддръжка, Електронна Индустрия, Лека Индустрия, Транспорт / Склад И Логистика</v>
      </c>
      <c r="Z351" t="str">
        <f>PROPER(Table1[[#This Row],[Insole]])</f>
        <v>Текстил,Сменяема Стелка</v>
      </c>
    </row>
    <row r="352" spans="1:26" ht="12.75" customHeight="1" x14ac:dyDescent="0.2">
      <c r="A352" s="2" t="s">
        <v>123</v>
      </c>
      <c r="B352" s="2" t="s">
        <v>124</v>
      </c>
      <c r="C352" s="2" t="s">
        <v>125</v>
      </c>
      <c r="D352" s="2" t="s">
        <v>1801</v>
      </c>
      <c r="E352" s="2" t="s">
        <v>2537</v>
      </c>
      <c r="F352" s="6" t="s">
        <v>3042</v>
      </c>
      <c r="G352" s="2" t="s">
        <v>116</v>
      </c>
      <c r="H352" s="2" t="s">
        <v>35</v>
      </c>
      <c r="I352" s="2" t="s">
        <v>3135</v>
      </c>
      <c r="J352" s="2" t="s">
        <v>1783</v>
      </c>
      <c r="K352" s="2" t="s">
        <v>1787</v>
      </c>
      <c r="L352" s="2" t="s">
        <v>95</v>
      </c>
      <c r="M352" s="7" t="s">
        <v>117</v>
      </c>
      <c r="N352" s="2" t="s">
        <v>3291</v>
      </c>
      <c r="O352" s="3" t="s">
        <v>3292</v>
      </c>
      <c r="P352" s="2" t="s">
        <v>3170</v>
      </c>
      <c r="Q352" s="2" t="s">
        <v>3168</v>
      </c>
      <c r="R352" s="2" t="s">
        <v>3155</v>
      </c>
      <c r="S352" s="2" t="s">
        <v>3092</v>
      </c>
      <c r="T352" s="2" t="s">
        <v>2355</v>
      </c>
      <c r="U352" s="2" t="s">
        <v>118</v>
      </c>
      <c r="V352" s="2" t="s">
        <v>2386</v>
      </c>
      <c r="W352" s="2" t="s">
        <v>119</v>
      </c>
      <c r="Y352" t="str">
        <f>PROPER(Table1[[#This Row],[Industry]])</f>
        <v>Автомобилен Сервиз/ Сервизна Поддръжка, Електронна Индустрия, Лека Индустрия, Транспорт / Склад И Логистика</v>
      </c>
      <c r="Z352" t="str">
        <f>PROPER(Table1[[#This Row],[Insole]])</f>
        <v>Текстил,Сменяема Стелка</v>
      </c>
    </row>
    <row r="353" spans="1:26" ht="12.75" customHeight="1" x14ac:dyDescent="0.2">
      <c r="A353" s="2" t="s">
        <v>113</v>
      </c>
      <c r="B353" s="2" t="s">
        <v>114</v>
      </c>
      <c r="C353" s="2" t="s">
        <v>115</v>
      </c>
      <c r="D353" s="2" t="s">
        <v>1799</v>
      </c>
      <c r="E353" s="2" t="s">
        <v>2535</v>
      </c>
      <c r="F353" s="6" t="s">
        <v>3042</v>
      </c>
      <c r="G353" s="2" t="s">
        <v>116</v>
      </c>
      <c r="H353" s="2" t="s">
        <v>35</v>
      </c>
      <c r="I353" s="2" t="s">
        <v>3135</v>
      </c>
      <c r="J353" s="2" t="s">
        <v>3192</v>
      </c>
      <c r="K353" s="2" t="s">
        <v>1787</v>
      </c>
      <c r="L353" s="2" t="s">
        <v>95</v>
      </c>
      <c r="M353" s="7" t="s">
        <v>117</v>
      </c>
      <c r="N353" s="2" t="s">
        <v>3288</v>
      </c>
      <c r="O353" s="3" t="s">
        <v>3290</v>
      </c>
      <c r="P353" s="2" t="s">
        <v>3170</v>
      </c>
      <c r="Q353" s="2" t="s">
        <v>3168</v>
      </c>
      <c r="R353" s="2" t="s">
        <v>3155</v>
      </c>
      <c r="S353" s="2" t="s">
        <v>3092</v>
      </c>
      <c r="T353" s="2" t="s">
        <v>2355</v>
      </c>
      <c r="U353" s="2" t="s">
        <v>118</v>
      </c>
      <c r="V353" s="2" t="s">
        <v>2384</v>
      </c>
      <c r="W353" s="2" t="s">
        <v>119</v>
      </c>
      <c r="Y353" t="str">
        <f>PROPER(Table1[[#This Row],[Industry]])</f>
        <v>Автомобилен Сервиз/ Сервизна Поддръжка, Електронна Индустрия, Лека Индустрия, Транспорт / Склад И Логистика</v>
      </c>
      <c r="Z353" t="str">
        <f>PROPER(Table1[[#This Row],[Insole]])</f>
        <v>Текстил,Сменяема Стелка</v>
      </c>
    </row>
    <row r="354" spans="1:26" ht="12.75" customHeight="1" x14ac:dyDescent="0.2">
      <c r="A354" s="2" t="s">
        <v>333</v>
      </c>
      <c r="B354" s="2" t="s">
        <v>334</v>
      </c>
      <c r="C354" s="2" t="s">
        <v>335</v>
      </c>
      <c r="D354" s="2" t="s">
        <v>2208</v>
      </c>
      <c r="E354" s="2" t="s">
        <v>2593</v>
      </c>
      <c r="F354" s="6" t="s">
        <v>3066</v>
      </c>
      <c r="G354" s="2" t="s">
        <v>312</v>
      </c>
      <c r="H354" s="2" t="s">
        <v>35</v>
      </c>
      <c r="I354" s="2" t="s">
        <v>3125</v>
      </c>
      <c r="J354" s="2" t="s">
        <v>3190</v>
      </c>
      <c r="K354" s="2" t="s">
        <v>2206</v>
      </c>
      <c r="L354" s="2" t="s">
        <v>95</v>
      </c>
      <c r="M354" s="7" t="s">
        <v>313</v>
      </c>
      <c r="N354" s="2" t="s">
        <v>3275</v>
      </c>
      <c r="O354" s="3" t="s">
        <v>3276</v>
      </c>
      <c r="P354" s="2" t="s">
        <v>3178</v>
      </c>
      <c r="Q354" s="2" t="s">
        <v>3168</v>
      </c>
      <c r="R354" s="2" t="s">
        <v>3155</v>
      </c>
      <c r="S354" s="2" t="s">
        <v>3092</v>
      </c>
      <c r="T354" s="2" t="s">
        <v>2355</v>
      </c>
      <c r="U354" s="2" t="s">
        <v>118</v>
      </c>
      <c r="V354" s="2" t="s">
        <v>2374</v>
      </c>
      <c r="W354" s="2" t="s">
        <v>119</v>
      </c>
      <c r="Y354" t="str">
        <f>PROPER(Table1[[#This Row],[Industry]])</f>
        <v>Електронна Индустрия, Лека Индустрия, Транспорт / Склад И Логистика</v>
      </c>
      <c r="Z354" t="str">
        <f>PROPER(Table1[[#This Row],[Insole]])</f>
        <v>Текстил,Сменяема Стелка</v>
      </c>
    </row>
    <row r="355" spans="1:26" ht="12.75" customHeight="1" x14ac:dyDescent="0.2">
      <c r="A355" s="2" t="s">
        <v>309</v>
      </c>
      <c r="B355" s="2" t="s">
        <v>310</v>
      </c>
      <c r="C355" s="2" t="s">
        <v>311</v>
      </c>
      <c r="D355" s="2" t="s">
        <v>2105</v>
      </c>
      <c r="E355" s="5" t="s">
        <v>2587</v>
      </c>
      <c r="F355" s="6" t="s">
        <v>3066</v>
      </c>
      <c r="G355" s="2" t="s">
        <v>312</v>
      </c>
      <c r="H355" s="2" t="s">
        <v>35</v>
      </c>
      <c r="I355" s="2" t="s">
        <v>3125</v>
      </c>
      <c r="J355" s="2" t="s">
        <v>3190</v>
      </c>
      <c r="K355" s="2" t="s">
        <v>2104</v>
      </c>
      <c r="L355" s="2" t="s">
        <v>95</v>
      </c>
      <c r="M355" s="7" t="s">
        <v>313</v>
      </c>
      <c r="N355" s="2" t="s">
        <v>3275</v>
      </c>
      <c r="O355" s="3" t="s">
        <v>3276</v>
      </c>
      <c r="P355" s="2" t="s">
        <v>3178</v>
      </c>
      <c r="Q355" s="2" t="s">
        <v>3168</v>
      </c>
      <c r="R355" s="2" t="s">
        <v>3155</v>
      </c>
      <c r="S355" s="2" t="s">
        <v>3092</v>
      </c>
      <c r="T355" s="2" t="s">
        <v>2355</v>
      </c>
      <c r="U355" s="2" t="s">
        <v>118</v>
      </c>
      <c r="V355" s="2" t="s">
        <v>2374</v>
      </c>
      <c r="W355" s="2" t="s">
        <v>119</v>
      </c>
      <c r="Y355" t="str">
        <f>PROPER(Table1[[#This Row],[Industry]])</f>
        <v>Електронна Индустрия, Лека Индустрия, Транспорт / Склад И Логистика</v>
      </c>
      <c r="Z355" t="str">
        <f>PROPER(Table1[[#This Row],[Insole]])</f>
        <v>Текстил,Сменяема Стелка</v>
      </c>
    </row>
    <row r="356" spans="1:26" ht="12.75" customHeight="1" x14ac:dyDescent="0.2">
      <c r="A356" s="2" t="s">
        <v>336</v>
      </c>
      <c r="B356" s="2" t="s">
        <v>337</v>
      </c>
      <c r="C356" s="2" t="s">
        <v>338</v>
      </c>
      <c r="D356" s="2" t="s">
        <v>2215</v>
      </c>
      <c r="E356" s="2" t="s">
        <v>2594</v>
      </c>
      <c r="F356" s="6" t="s">
        <v>3066</v>
      </c>
      <c r="G356" s="2" t="s">
        <v>312</v>
      </c>
      <c r="H356" s="2" t="s">
        <v>35</v>
      </c>
      <c r="I356" s="2" t="s">
        <v>3125</v>
      </c>
      <c r="J356" s="2" t="s">
        <v>3190</v>
      </c>
      <c r="K356" s="2" t="s">
        <v>2213</v>
      </c>
      <c r="L356" s="2" t="s">
        <v>95</v>
      </c>
      <c r="M356" s="7" t="s">
        <v>313</v>
      </c>
      <c r="N356" s="2" t="s">
        <v>3275</v>
      </c>
      <c r="O356" s="3" t="s">
        <v>3276</v>
      </c>
      <c r="P356" s="2" t="s">
        <v>3178</v>
      </c>
      <c r="Q356" s="2" t="s">
        <v>3168</v>
      </c>
      <c r="R356" s="2" t="s">
        <v>3155</v>
      </c>
      <c r="S356" s="2" t="s">
        <v>3092</v>
      </c>
      <c r="T356" s="2" t="s">
        <v>2355</v>
      </c>
      <c r="U356" s="2" t="s">
        <v>118</v>
      </c>
      <c r="V356" s="2" t="s">
        <v>2374</v>
      </c>
      <c r="W356" s="2" t="s">
        <v>119</v>
      </c>
      <c r="Y356" t="str">
        <f>PROPER(Table1[[#This Row],[Industry]])</f>
        <v>Електронна Индустрия, Лека Индустрия, Транспорт / Склад И Логистика</v>
      </c>
      <c r="Z356" t="str">
        <f>PROPER(Table1[[#This Row],[Insole]])</f>
        <v>Текстил,Сменяема Стелка</v>
      </c>
    </row>
    <row r="357" spans="1:26" ht="12.75" customHeight="1" x14ac:dyDescent="0.2">
      <c r="A357" s="2" t="s">
        <v>323</v>
      </c>
      <c r="B357" s="2" t="s">
        <v>324</v>
      </c>
      <c r="C357" s="2" t="s">
        <v>325</v>
      </c>
      <c r="D357" s="2" t="s">
        <v>1833</v>
      </c>
      <c r="E357" s="2" t="s">
        <v>2590</v>
      </c>
      <c r="F357" s="6" t="s">
        <v>3066</v>
      </c>
      <c r="G357" s="2" t="s">
        <v>312</v>
      </c>
      <c r="H357" s="2" t="s">
        <v>35</v>
      </c>
      <c r="I357" s="2" t="s">
        <v>3125</v>
      </c>
      <c r="J357" s="2" t="s">
        <v>3190</v>
      </c>
      <c r="K357" s="2" t="s">
        <v>1787</v>
      </c>
      <c r="L357" s="2" t="s">
        <v>95</v>
      </c>
      <c r="M357" s="7" t="s">
        <v>313</v>
      </c>
      <c r="N357" s="2" t="s">
        <v>3275</v>
      </c>
      <c r="O357" s="3" t="s">
        <v>3276</v>
      </c>
      <c r="P357" s="2" t="s">
        <v>3178</v>
      </c>
      <c r="Q357" s="2" t="s">
        <v>3168</v>
      </c>
      <c r="R357" s="2" t="s">
        <v>3155</v>
      </c>
      <c r="S357" s="2" t="s">
        <v>3092</v>
      </c>
      <c r="T357" s="2" t="s">
        <v>2355</v>
      </c>
      <c r="U357" s="2" t="s">
        <v>118</v>
      </c>
      <c r="V357" s="2" t="s">
        <v>2374</v>
      </c>
      <c r="W357" s="2" t="s">
        <v>119</v>
      </c>
      <c r="Y357" t="str">
        <f>PROPER(Table1[[#This Row],[Industry]])</f>
        <v>Електронна Индустрия, Лека Индустрия, Транспорт / Склад И Логистика</v>
      </c>
      <c r="Z357" t="str">
        <f>PROPER(Table1[[#This Row],[Insole]])</f>
        <v>Текстил,Сменяема Стелка</v>
      </c>
    </row>
    <row r="358" spans="1:26" ht="12.75" customHeight="1" x14ac:dyDescent="0.2">
      <c r="A358" s="2" t="s">
        <v>1231</v>
      </c>
      <c r="B358" s="2" t="s">
        <v>1232</v>
      </c>
      <c r="C358" s="2" t="s">
        <v>1233</v>
      </c>
      <c r="D358" s="2" t="s">
        <v>1921</v>
      </c>
      <c r="E358" s="2" t="s">
        <v>2866</v>
      </c>
      <c r="F358" s="2"/>
      <c r="G358" s="2" t="s">
        <v>588</v>
      </c>
      <c r="H358" s="2" t="s">
        <v>536</v>
      </c>
      <c r="I358" s="2" t="s">
        <v>3150</v>
      </c>
      <c r="J358" s="2" t="s">
        <v>3190</v>
      </c>
      <c r="K358" s="2" t="s">
        <v>1787</v>
      </c>
      <c r="L358" s="2" t="s">
        <v>95</v>
      </c>
      <c r="M358" s="7" t="s">
        <v>1234</v>
      </c>
      <c r="N358" s="2" t="s">
        <v>3196</v>
      </c>
      <c r="O358" s="2"/>
      <c r="P358" s="2" t="s">
        <v>3184</v>
      </c>
      <c r="Q358" s="2" t="s">
        <v>3172</v>
      </c>
      <c r="R358" s="2" t="s">
        <v>3158</v>
      </c>
      <c r="S358" s="2" t="s">
        <v>2347</v>
      </c>
      <c r="T358" s="2" t="s">
        <v>2355</v>
      </c>
      <c r="U358" s="2" t="s">
        <v>91</v>
      </c>
      <c r="V358" s="2" t="s">
        <v>2464</v>
      </c>
      <c r="W358" s="2"/>
      <c r="Y358" t="str">
        <f>PROPER(Table1[[#This Row],[Industry]])</f>
        <v>Лека Индустрия</v>
      </c>
      <c r="Z358" t="str">
        <f>PROPER(Table1[[#This Row],[Insole]])</f>
        <v>Текстил, Антибактериална Стелка, Ортопедична Стелка,Сменяема Стелка</v>
      </c>
    </row>
    <row r="359" spans="1:26" ht="12.75" customHeight="1" x14ac:dyDescent="0.2">
      <c r="A359" s="2" t="s">
        <v>606</v>
      </c>
      <c r="B359" s="2" t="s">
        <v>607</v>
      </c>
      <c r="C359" s="2" t="s">
        <v>608</v>
      </c>
      <c r="D359" s="2" t="s">
        <v>1996</v>
      </c>
      <c r="E359" s="2" t="s">
        <v>2669</v>
      </c>
      <c r="F359" s="2"/>
      <c r="G359" s="2" t="s">
        <v>588</v>
      </c>
      <c r="H359" s="2" t="s">
        <v>536</v>
      </c>
      <c r="I359" s="2" t="s">
        <v>3108</v>
      </c>
      <c r="J359" s="2" t="s">
        <v>3190</v>
      </c>
      <c r="K359" s="2" t="s">
        <v>1984</v>
      </c>
      <c r="L359" s="2" t="s">
        <v>95</v>
      </c>
      <c r="M359" s="7" t="s">
        <v>609</v>
      </c>
      <c r="N359" s="2" t="s">
        <v>3223</v>
      </c>
      <c r="O359" s="2"/>
      <c r="P359" s="2" t="s">
        <v>3170</v>
      </c>
      <c r="Q359" s="2" t="s">
        <v>3172</v>
      </c>
      <c r="R359" s="2" t="s">
        <v>3158</v>
      </c>
      <c r="S359" s="2" t="s">
        <v>2347</v>
      </c>
      <c r="T359" s="2" t="s">
        <v>2355</v>
      </c>
      <c r="U359" s="2" t="s">
        <v>91</v>
      </c>
      <c r="V359" s="2" t="s">
        <v>2421</v>
      </c>
      <c r="W359" s="2"/>
      <c r="Y359" t="str">
        <f>PROPER(Table1[[#This Row],[Industry]])</f>
        <v>Медицинска Индустрия</v>
      </c>
      <c r="Z359" t="str">
        <f>PROPER(Table1[[#This Row],[Insole]])</f>
        <v>Текстил, Антибактериална Стелка, Ортопедична Стелка,Сменяема Стелка</v>
      </c>
    </row>
    <row r="360" spans="1:26" ht="12.75" customHeight="1" x14ac:dyDescent="0.2">
      <c r="A360" s="2" t="s">
        <v>1241</v>
      </c>
      <c r="B360" s="2" t="s">
        <v>1242</v>
      </c>
      <c r="C360" s="2" t="s">
        <v>1243</v>
      </c>
      <c r="D360" s="2" t="s">
        <v>2053</v>
      </c>
      <c r="E360" s="2" t="s">
        <v>2869</v>
      </c>
      <c r="F360" s="2"/>
      <c r="G360" s="2" t="s">
        <v>588</v>
      </c>
      <c r="H360" s="2" t="s">
        <v>536</v>
      </c>
      <c r="I360" s="2" t="s">
        <v>3109</v>
      </c>
      <c r="J360" s="2" t="s">
        <v>3190</v>
      </c>
      <c r="K360" s="2" t="s">
        <v>1984</v>
      </c>
      <c r="L360" s="2" t="s">
        <v>95</v>
      </c>
      <c r="M360" s="7" t="s">
        <v>609</v>
      </c>
      <c r="N360" s="2" t="s">
        <v>3223</v>
      </c>
      <c r="O360" s="2"/>
      <c r="P360" s="2" t="s">
        <v>3170</v>
      </c>
      <c r="Q360" s="2" t="s">
        <v>3172</v>
      </c>
      <c r="R360" s="2" t="s">
        <v>3158</v>
      </c>
      <c r="S360" s="2" t="s">
        <v>2347</v>
      </c>
      <c r="T360" s="2" t="s">
        <v>2355</v>
      </c>
      <c r="U360" s="2" t="s">
        <v>91</v>
      </c>
      <c r="V360" s="2" t="s">
        <v>2370</v>
      </c>
      <c r="W360" s="2"/>
      <c r="Y360" t="str">
        <f>PROPER(Table1[[#This Row],[Industry]])</f>
        <v>Хранително-Вкусова Индустрия</v>
      </c>
      <c r="Z360" t="str">
        <f>PROPER(Table1[[#This Row],[Insole]])</f>
        <v>Текстил, Антибактериална Стелка, Ортопедична Стелка,Сменяема Стелка</v>
      </c>
    </row>
    <row r="361" spans="1:26" ht="12.75" customHeight="1" x14ac:dyDescent="0.2">
      <c r="A361" s="2" t="s">
        <v>1247</v>
      </c>
      <c r="B361" s="2" t="s">
        <v>1248</v>
      </c>
      <c r="C361" s="2" t="s">
        <v>1249</v>
      </c>
      <c r="D361" s="2" t="s">
        <v>2232</v>
      </c>
      <c r="E361" s="2" t="s">
        <v>2871</v>
      </c>
      <c r="F361" s="2"/>
      <c r="G361" s="2" t="s">
        <v>588</v>
      </c>
      <c r="H361" s="2" t="s">
        <v>536</v>
      </c>
      <c r="I361" s="2" t="s">
        <v>3131</v>
      </c>
      <c r="J361" s="2" t="s">
        <v>3190</v>
      </c>
      <c r="K361" s="2" t="s">
        <v>2211</v>
      </c>
      <c r="L361" s="2" t="s">
        <v>95</v>
      </c>
      <c r="M361" s="7" t="s">
        <v>609</v>
      </c>
      <c r="N361" s="2" t="s">
        <v>3223</v>
      </c>
      <c r="O361" s="2"/>
      <c r="P361" s="2" t="s">
        <v>3170</v>
      </c>
      <c r="Q361" s="2" t="s">
        <v>3172</v>
      </c>
      <c r="R361" s="2" t="s">
        <v>3158</v>
      </c>
      <c r="S361" s="2" t="s">
        <v>2347</v>
      </c>
      <c r="T361" s="2" t="s">
        <v>2355</v>
      </c>
      <c r="U361" s="2" t="s">
        <v>91</v>
      </c>
      <c r="V361" s="2" t="s">
        <v>2370</v>
      </c>
      <c r="W361" s="2"/>
      <c r="Y361" t="str">
        <f>PROPER(Table1[[#This Row],[Industry]])</f>
        <v>Електронна Индустрия</v>
      </c>
      <c r="Z361" t="str">
        <f>PROPER(Table1[[#This Row],[Insole]])</f>
        <v>Текстил, Антибактериална Стелка, Ортопедична Стелка,Сменяема Стелка</v>
      </c>
    </row>
    <row r="362" spans="1:26" ht="12.75" customHeight="1" x14ac:dyDescent="0.2">
      <c r="A362" s="2" t="s">
        <v>1250</v>
      </c>
      <c r="B362" s="2" t="s">
        <v>1251</v>
      </c>
      <c r="C362" s="2" t="s">
        <v>1252</v>
      </c>
      <c r="D362" s="2" t="s">
        <v>2233</v>
      </c>
      <c r="E362" s="2" t="s">
        <v>2872</v>
      </c>
      <c r="F362" s="2"/>
      <c r="G362" s="2" t="s">
        <v>588</v>
      </c>
      <c r="H362" s="2" t="s">
        <v>536</v>
      </c>
      <c r="I362" s="2" t="s">
        <v>3131</v>
      </c>
      <c r="J362" s="2" t="s">
        <v>3190</v>
      </c>
      <c r="K362" s="2" t="s">
        <v>2211</v>
      </c>
      <c r="L362" s="2" t="s">
        <v>95</v>
      </c>
      <c r="M362" s="7" t="s">
        <v>609</v>
      </c>
      <c r="N362" s="2" t="s">
        <v>3223</v>
      </c>
      <c r="O362" s="2"/>
      <c r="P362" s="2" t="s">
        <v>3170</v>
      </c>
      <c r="Q362" s="2" t="s">
        <v>3172</v>
      </c>
      <c r="R362" s="2" t="s">
        <v>3158</v>
      </c>
      <c r="S362" s="2" t="s">
        <v>2347</v>
      </c>
      <c r="T362" s="2" t="s">
        <v>2355</v>
      </c>
      <c r="U362" s="2" t="s">
        <v>91</v>
      </c>
      <c r="V362" s="2" t="s">
        <v>2370</v>
      </c>
      <c r="W362" s="2"/>
      <c r="Y362" t="str">
        <f>PROPER(Table1[[#This Row],[Industry]])</f>
        <v>Електронна Индустрия</v>
      </c>
      <c r="Z362" t="str">
        <f>PROPER(Table1[[#This Row],[Insole]])</f>
        <v>Текстил, Антибактериална Стелка, Ортопедична Стелка,Сменяема Стелка</v>
      </c>
    </row>
    <row r="363" spans="1:26" ht="12.75" customHeight="1" x14ac:dyDescent="0.2">
      <c r="A363" s="2" t="s">
        <v>1253</v>
      </c>
      <c r="B363" s="2" t="s">
        <v>1254</v>
      </c>
      <c r="C363" s="2" t="s">
        <v>1255</v>
      </c>
      <c r="D363" s="2" t="s">
        <v>1924</v>
      </c>
      <c r="E363" s="2" t="s">
        <v>2873</v>
      </c>
      <c r="F363" s="2"/>
      <c r="G363" s="2" t="s">
        <v>588</v>
      </c>
      <c r="H363" s="2" t="s">
        <v>536</v>
      </c>
      <c r="I363" s="2" t="s">
        <v>3131</v>
      </c>
      <c r="J363" s="2" t="s">
        <v>3190</v>
      </c>
      <c r="K363" s="2" t="s">
        <v>1787</v>
      </c>
      <c r="L363" s="2" t="s">
        <v>95</v>
      </c>
      <c r="M363" s="7" t="s">
        <v>589</v>
      </c>
      <c r="N363" s="2" t="s">
        <v>3223</v>
      </c>
      <c r="O363" s="2"/>
      <c r="P363" s="2" t="s">
        <v>3170</v>
      </c>
      <c r="Q363" s="2" t="s">
        <v>3172</v>
      </c>
      <c r="R363" s="2" t="s">
        <v>3158</v>
      </c>
      <c r="S363" s="2" t="s">
        <v>2347</v>
      </c>
      <c r="T363" s="2" t="s">
        <v>2355</v>
      </c>
      <c r="U363" s="2" t="s">
        <v>91</v>
      </c>
      <c r="V363" s="2" t="s">
        <v>2423</v>
      </c>
      <c r="W363" s="2"/>
      <c r="Y363" t="str">
        <f>PROPER(Table1[[#This Row],[Industry]])</f>
        <v>Електронна Индустрия</v>
      </c>
      <c r="Z363" t="str">
        <f>PROPER(Table1[[#This Row],[Insole]])</f>
        <v>Текстил, Антибактериална Стелка, Ортопедична Стелка,Сменяема Стелка</v>
      </c>
    </row>
    <row r="364" spans="1:26" ht="12.75" customHeight="1" x14ac:dyDescent="0.2">
      <c r="A364" s="2" t="s">
        <v>610</v>
      </c>
      <c r="B364" s="2" t="s">
        <v>611</v>
      </c>
      <c r="C364" s="2" t="s">
        <v>612</v>
      </c>
      <c r="D364" s="2" t="s">
        <v>1869</v>
      </c>
      <c r="E364" s="2" t="s">
        <v>2670</v>
      </c>
      <c r="F364" s="2"/>
      <c r="G364" s="2" t="s">
        <v>588</v>
      </c>
      <c r="H364" s="2" t="s">
        <v>536</v>
      </c>
      <c r="I364" s="2" t="s">
        <v>3131</v>
      </c>
      <c r="J364" s="2" t="s">
        <v>3190</v>
      </c>
      <c r="K364" s="2" t="s">
        <v>1787</v>
      </c>
      <c r="L364" s="2" t="s">
        <v>95</v>
      </c>
      <c r="M364" s="7" t="s">
        <v>602</v>
      </c>
      <c r="N364" s="2" t="s">
        <v>3223</v>
      </c>
      <c r="O364" s="2"/>
      <c r="P364" s="2" t="s">
        <v>3170</v>
      </c>
      <c r="Q364" s="2" t="s">
        <v>3172</v>
      </c>
      <c r="R364" s="2" t="s">
        <v>3158</v>
      </c>
      <c r="S364" s="2" t="s">
        <v>2347</v>
      </c>
      <c r="T364" s="2" t="s">
        <v>2355</v>
      </c>
      <c r="U364" s="2" t="s">
        <v>91</v>
      </c>
      <c r="V364" s="2" t="s">
        <v>2421</v>
      </c>
      <c r="W364" s="2"/>
      <c r="Y364" t="str">
        <f>PROPER(Table1[[#This Row],[Industry]])</f>
        <v>Електронна Индустрия</v>
      </c>
      <c r="Z364" t="str">
        <f>PROPER(Table1[[#This Row],[Insole]])</f>
        <v>Текстил, Антибактериална Стелка, Ортопедична Стелка,Сменяема Стелка</v>
      </c>
    </row>
    <row r="365" spans="1:26" ht="12.75" customHeight="1" x14ac:dyDescent="0.2">
      <c r="A365" s="2" t="s">
        <v>1244</v>
      </c>
      <c r="B365" s="2" t="s">
        <v>1245</v>
      </c>
      <c r="C365" s="2" t="s">
        <v>1246</v>
      </c>
      <c r="D365" s="2" t="s">
        <v>1923</v>
      </c>
      <c r="E365" s="2" t="s">
        <v>2870</v>
      </c>
      <c r="F365" s="2"/>
      <c r="G365" s="2" t="s">
        <v>588</v>
      </c>
      <c r="H365" s="2" t="s">
        <v>536</v>
      </c>
      <c r="I365" s="2" t="s">
        <v>3131</v>
      </c>
      <c r="J365" s="2" t="s">
        <v>3190</v>
      </c>
      <c r="K365" s="2" t="s">
        <v>1787</v>
      </c>
      <c r="L365" s="2" t="s">
        <v>95</v>
      </c>
      <c r="M365" s="7" t="s">
        <v>602</v>
      </c>
      <c r="N365" s="2" t="s">
        <v>3223</v>
      </c>
      <c r="O365" s="2"/>
      <c r="P365" s="2" t="s">
        <v>3170</v>
      </c>
      <c r="Q365" s="2" t="s">
        <v>3172</v>
      </c>
      <c r="R365" s="2" t="s">
        <v>3158</v>
      </c>
      <c r="S365" s="2" t="s">
        <v>2347</v>
      </c>
      <c r="T365" s="2" t="s">
        <v>2355</v>
      </c>
      <c r="U365" s="2" t="s">
        <v>91</v>
      </c>
      <c r="V365" s="2" t="s">
        <v>2381</v>
      </c>
      <c r="W365" s="2"/>
      <c r="Y365" t="str">
        <f>PROPER(Table1[[#This Row],[Industry]])</f>
        <v>Електронна Индустрия</v>
      </c>
      <c r="Z365" t="str">
        <f>PROPER(Table1[[#This Row],[Insole]])</f>
        <v>Текстил, Антибактериална Стелка, Ортопедична Стелка,Сменяема Стелка</v>
      </c>
    </row>
    <row r="366" spans="1:26" ht="12.75" customHeight="1" x14ac:dyDescent="0.2">
      <c r="A366" s="2" t="s">
        <v>613</v>
      </c>
      <c r="B366" s="2" t="s">
        <v>614</v>
      </c>
      <c r="C366" s="2" t="s">
        <v>615</v>
      </c>
      <c r="D366" s="2" t="s">
        <v>1870</v>
      </c>
      <c r="E366" s="2" t="s">
        <v>2671</v>
      </c>
      <c r="F366" s="2"/>
      <c r="G366" s="2" t="s">
        <v>588</v>
      </c>
      <c r="H366" s="2" t="s">
        <v>536</v>
      </c>
      <c r="I366" s="2" t="s">
        <v>3151</v>
      </c>
      <c r="J366" s="2" t="s">
        <v>3190</v>
      </c>
      <c r="K366" s="2" t="s">
        <v>1787</v>
      </c>
      <c r="L366" s="2" t="s">
        <v>95</v>
      </c>
      <c r="M366" s="7" t="s">
        <v>589</v>
      </c>
      <c r="N366" s="2" t="s">
        <v>3196</v>
      </c>
      <c r="O366" s="2"/>
      <c r="P366" s="2" t="s">
        <v>3170</v>
      </c>
      <c r="Q366" s="2" t="s">
        <v>3172</v>
      </c>
      <c r="R366" s="2" t="s">
        <v>3158</v>
      </c>
      <c r="S366" s="2" t="s">
        <v>2347</v>
      </c>
      <c r="T366" s="2" t="s">
        <v>2355</v>
      </c>
      <c r="U366" s="2" t="s">
        <v>91</v>
      </c>
      <c r="V366" s="2" t="s">
        <v>2423</v>
      </c>
      <c r="W366" s="2"/>
      <c r="Y366" t="str">
        <f>PROPER(Table1[[#This Row],[Industry]])</f>
        <v>Хранително-Вкусова Индустрия, Гастрономия / Кухня, Хорека, Лека Индустрия, Транспорт / Склад И Логистика</v>
      </c>
      <c r="Z366" t="str">
        <f>PROPER(Table1[[#This Row],[Insole]])</f>
        <v>Текстил, Антибактериална Стелка, Ортопедична Стелка,Сменяема Стелка</v>
      </c>
    </row>
    <row r="367" spans="1:26" ht="12.75" customHeight="1" x14ac:dyDescent="0.2">
      <c r="A367" s="2" t="s">
        <v>628</v>
      </c>
      <c r="B367" s="2" t="s">
        <v>629</v>
      </c>
      <c r="C367" s="2" t="s">
        <v>630</v>
      </c>
      <c r="D367" s="2" t="s">
        <v>1998</v>
      </c>
      <c r="E367" s="2" t="s">
        <v>2676</v>
      </c>
      <c r="F367" s="2"/>
      <c r="G367" s="2" t="s">
        <v>588</v>
      </c>
      <c r="H367" s="2" t="s">
        <v>536</v>
      </c>
      <c r="I367" s="2" t="s">
        <v>3118</v>
      </c>
      <c r="J367" s="2" t="s">
        <v>3190</v>
      </c>
      <c r="K367" s="2" t="s">
        <v>1984</v>
      </c>
      <c r="L367" s="2" t="s">
        <v>95</v>
      </c>
      <c r="M367" s="7" t="s">
        <v>602</v>
      </c>
      <c r="N367" s="2" t="s">
        <v>3335</v>
      </c>
      <c r="O367" s="2"/>
      <c r="P367" s="2" t="s">
        <v>3173</v>
      </c>
      <c r="Q367" s="2" t="s">
        <v>3172</v>
      </c>
      <c r="R367" s="2" t="s">
        <v>3158</v>
      </c>
      <c r="S367" s="2" t="s">
        <v>2347</v>
      </c>
      <c r="T367" s="2" t="s">
        <v>2355</v>
      </c>
      <c r="U367" s="2" t="s">
        <v>91</v>
      </c>
      <c r="V367" s="2" t="s">
        <v>2430</v>
      </c>
      <c r="W367" s="2"/>
      <c r="Y367" t="str">
        <f>PROPER(Table1[[#This Row],[Industry]])</f>
        <v>Хранително-Вкусова Индустрия, Гастрономия / Кухня, Хорека, Болничен Персонал, Медицинска Индустрия, Фармацевтика</v>
      </c>
      <c r="Z367" t="str">
        <f>PROPER(Table1[[#This Row],[Insole]])</f>
        <v>Текстил, Антибактериална Стелка, Ортопедична Стелка,Сменяема Стелка</v>
      </c>
    </row>
    <row r="368" spans="1:26" ht="12.75" customHeight="1" x14ac:dyDescent="0.2">
      <c r="A368" s="2" t="s">
        <v>634</v>
      </c>
      <c r="B368" s="2" t="s">
        <v>635</v>
      </c>
      <c r="C368" s="2" t="s">
        <v>636</v>
      </c>
      <c r="D368" s="2" t="s">
        <v>1999</v>
      </c>
      <c r="E368" s="2" t="s">
        <v>2678</v>
      </c>
      <c r="F368" s="2"/>
      <c r="G368" s="2" t="s">
        <v>588</v>
      </c>
      <c r="H368" s="2" t="s">
        <v>536</v>
      </c>
      <c r="I368" s="2" t="s">
        <v>3118</v>
      </c>
      <c r="J368" s="2" t="s">
        <v>3190</v>
      </c>
      <c r="K368" s="2" t="s">
        <v>1984</v>
      </c>
      <c r="L368" s="2" t="s">
        <v>95</v>
      </c>
      <c r="M368" s="7" t="s">
        <v>602</v>
      </c>
      <c r="N368" s="2" t="s">
        <v>3335</v>
      </c>
      <c r="O368" s="2"/>
      <c r="P368" s="2" t="s">
        <v>3173</v>
      </c>
      <c r="Q368" s="2" t="s">
        <v>3172</v>
      </c>
      <c r="R368" s="2" t="s">
        <v>3158</v>
      </c>
      <c r="S368" s="2" t="s">
        <v>2347</v>
      </c>
      <c r="T368" s="2" t="s">
        <v>2355</v>
      </c>
      <c r="U368" s="2" t="s">
        <v>91</v>
      </c>
      <c r="V368" s="2" t="s">
        <v>2430</v>
      </c>
      <c r="W368" s="2"/>
      <c r="Y368" t="str">
        <f>PROPER(Table1[[#This Row],[Industry]])</f>
        <v>Хранително-Вкусова Индустрия, Гастрономия / Кухня, Хорека, Болничен Персонал, Медицинска Индустрия, Фармацевтика</v>
      </c>
      <c r="Z368" t="str">
        <f>PROPER(Table1[[#This Row],[Insole]])</f>
        <v>Текстил, Антибактериална Стелка, Ортопедична Стелка,Сменяема Стелка</v>
      </c>
    </row>
    <row r="369" spans="1:26" ht="12.75" customHeight="1" x14ac:dyDescent="0.2">
      <c r="A369" s="2" t="s">
        <v>637</v>
      </c>
      <c r="B369" s="2" t="s">
        <v>638</v>
      </c>
      <c r="C369" s="2" t="s">
        <v>639</v>
      </c>
      <c r="D369" s="2" t="s">
        <v>2000</v>
      </c>
      <c r="E369" s="2" t="s">
        <v>2679</v>
      </c>
      <c r="F369" s="2"/>
      <c r="G369" s="2" t="s">
        <v>588</v>
      </c>
      <c r="H369" s="2" t="s">
        <v>536</v>
      </c>
      <c r="I369" s="2" t="s">
        <v>3118</v>
      </c>
      <c r="J369" s="2" t="s">
        <v>3190</v>
      </c>
      <c r="K369" s="2" t="s">
        <v>1984</v>
      </c>
      <c r="L369" s="2" t="s">
        <v>95</v>
      </c>
      <c r="M369" s="7" t="s">
        <v>602</v>
      </c>
      <c r="N369" s="2" t="s">
        <v>3335</v>
      </c>
      <c r="O369" s="2"/>
      <c r="P369" s="2" t="s">
        <v>3173</v>
      </c>
      <c r="Q369" s="2" t="s">
        <v>3172</v>
      </c>
      <c r="R369" s="2" t="s">
        <v>3158</v>
      </c>
      <c r="S369" s="2" t="s">
        <v>2347</v>
      </c>
      <c r="T369" s="2" t="s">
        <v>2355</v>
      </c>
      <c r="U369" s="2" t="s">
        <v>91</v>
      </c>
      <c r="V369" s="2" t="s">
        <v>2430</v>
      </c>
      <c r="W369" s="2"/>
      <c r="Y369" t="str">
        <f>PROPER(Table1[[#This Row],[Industry]])</f>
        <v>Хранително-Вкусова Индустрия, Гастрономия / Кухня, Хорека, Болничен Персонал, Медицинска Индустрия, Фармацевтика</v>
      </c>
      <c r="Z369" t="str">
        <f>PROPER(Table1[[#This Row],[Insole]])</f>
        <v>Текстил, Антибактериална Стелка, Ортопедична Стелка,Сменяема Стелка</v>
      </c>
    </row>
    <row r="370" spans="1:26" ht="12.75" customHeight="1" x14ac:dyDescent="0.2">
      <c r="A370" s="2" t="s">
        <v>1265</v>
      </c>
      <c r="B370" s="2" t="s">
        <v>1266</v>
      </c>
      <c r="C370" s="2" t="s">
        <v>1267</v>
      </c>
      <c r="D370" s="2" t="s">
        <v>2055</v>
      </c>
      <c r="E370" s="2" t="s">
        <v>2877</v>
      </c>
      <c r="F370" s="2"/>
      <c r="G370" s="2" t="s">
        <v>588</v>
      </c>
      <c r="H370" s="2" t="s">
        <v>536</v>
      </c>
      <c r="I370" s="2" t="s">
        <v>3109</v>
      </c>
      <c r="J370" s="2" t="s">
        <v>3190</v>
      </c>
      <c r="K370" s="2" t="s">
        <v>1984</v>
      </c>
      <c r="L370" s="2" t="s">
        <v>95</v>
      </c>
      <c r="M370" s="7" t="s">
        <v>602</v>
      </c>
      <c r="N370" s="2" t="s">
        <v>3224</v>
      </c>
      <c r="O370" s="2"/>
      <c r="P370" s="2" t="s">
        <v>3173</v>
      </c>
      <c r="Q370" s="2" t="s">
        <v>3172</v>
      </c>
      <c r="R370" s="2" t="s">
        <v>3158</v>
      </c>
      <c r="S370" s="2" t="s">
        <v>2349</v>
      </c>
      <c r="T370" s="2" t="s">
        <v>2355</v>
      </c>
      <c r="U370" s="2" t="s">
        <v>91</v>
      </c>
      <c r="V370" s="2" t="s">
        <v>2431</v>
      </c>
      <c r="W370" s="2"/>
      <c r="Y370" t="str">
        <f>PROPER(Table1[[#This Row],[Industry]])</f>
        <v>Хранително-Вкусова Индустрия</v>
      </c>
      <c r="Z370" t="str">
        <f>PROPER(Table1[[#This Row],[Insole]])</f>
        <v>Текстил, Антибактериална Стелка, Ортопедична Стелка,Сменяема Стелка</v>
      </c>
    </row>
    <row r="371" spans="1:26" ht="12.75" customHeight="1" x14ac:dyDescent="0.2">
      <c r="A371" s="2" t="s">
        <v>599</v>
      </c>
      <c r="B371" s="2" t="s">
        <v>600</v>
      </c>
      <c r="C371" s="2" t="s">
        <v>601</v>
      </c>
      <c r="D371" s="2" t="s">
        <v>1995</v>
      </c>
      <c r="E371" s="2" t="s">
        <v>2667</v>
      </c>
      <c r="F371" s="2"/>
      <c r="G371" s="2" t="s">
        <v>588</v>
      </c>
      <c r="H371" s="2" t="s">
        <v>536</v>
      </c>
      <c r="I371" s="2" t="s">
        <v>3112</v>
      </c>
      <c r="J371" s="2" t="s">
        <v>3190</v>
      </c>
      <c r="K371" s="2" t="s">
        <v>1984</v>
      </c>
      <c r="L371" s="2" t="s">
        <v>95</v>
      </c>
      <c r="M371" s="7" t="s">
        <v>602</v>
      </c>
      <c r="N371" s="2" t="s">
        <v>3213</v>
      </c>
      <c r="O371" s="2"/>
      <c r="P371" s="2" t="s">
        <v>3173</v>
      </c>
      <c r="Q371" s="2" t="s">
        <v>3172</v>
      </c>
      <c r="R371" s="2" t="s">
        <v>3158</v>
      </c>
      <c r="S371" s="2" t="s">
        <v>2347</v>
      </c>
      <c r="T371" s="2" t="s">
        <v>2368</v>
      </c>
      <c r="U371" s="2" t="s">
        <v>91</v>
      </c>
      <c r="V371" s="2" t="s">
        <v>2430</v>
      </c>
      <c r="W371" s="2"/>
      <c r="Y371" t="str">
        <f>PROPER(Table1[[#This Row],[Industry]])</f>
        <v>Хранително-Вкусова Индустрия, Гастрономия / Кухня, Хорека</v>
      </c>
      <c r="Z371" t="str">
        <f>PROPER(Table1[[#This Row],[Insole]])</f>
        <v>Текстил, Антибактериална Стелка, Ортопедична Стелка,Сменяема Стелка</v>
      </c>
    </row>
    <row r="372" spans="1:26" ht="12.75" customHeight="1" x14ac:dyDescent="0.2">
      <c r="A372" s="2" t="s">
        <v>1235</v>
      </c>
      <c r="B372" s="2" t="s">
        <v>1236</v>
      </c>
      <c r="C372" s="2" t="s">
        <v>1237</v>
      </c>
      <c r="D372" s="2" t="s">
        <v>2052</v>
      </c>
      <c r="E372" s="2" t="s">
        <v>2867</v>
      </c>
      <c r="F372" s="2"/>
      <c r="G372" s="2" t="s">
        <v>588</v>
      </c>
      <c r="H372" s="2" t="s">
        <v>536</v>
      </c>
      <c r="I372" s="2" t="s">
        <v>3109</v>
      </c>
      <c r="J372" s="2" t="s">
        <v>3190</v>
      </c>
      <c r="K372" s="2" t="s">
        <v>1984</v>
      </c>
      <c r="L372" s="2" t="s">
        <v>95</v>
      </c>
      <c r="M372" s="7" t="s">
        <v>602</v>
      </c>
      <c r="N372" s="2" t="s">
        <v>3213</v>
      </c>
      <c r="O372" s="2"/>
      <c r="P372" s="2" t="s">
        <v>3173</v>
      </c>
      <c r="Q372" s="2" t="s">
        <v>3172</v>
      </c>
      <c r="R372" s="2" t="s">
        <v>3158</v>
      </c>
      <c r="S372" s="2" t="s">
        <v>2347</v>
      </c>
      <c r="T372" s="2" t="s">
        <v>2368</v>
      </c>
      <c r="U372" s="2" t="s">
        <v>91</v>
      </c>
      <c r="V372" s="2" t="s">
        <v>2431</v>
      </c>
      <c r="W372" s="2"/>
      <c r="Y372" t="str">
        <f>PROPER(Table1[[#This Row],[Industry]])</f>
        <v>Хранително-Вкусова Индустрия</v>
      </c>
      <c r="Z372" t="str">
        <f>PROPER(Table1[[#This Row],[Insole]])</f>
        <v>Текстил, Антибактериална Стелка, Ортопедична Стелка,Сменяема Стелка</v>
      </c>
    </row>
    <row r="373" spans="1:26" ht="12.75" customHeight="1" x14ac:dyDescent="0.2">
      <c r="A373" s="2" t="s">
        <v>593</v>
      </c>
      <c r="B373" s="2" t="s">
        <v>594</v>
      </c>
      <c r="C373" s="2" t="s">
        <v>595</v>
      </c>
      <c r="D373" s="2" t="s">
        <v>1866</v>
      </c>
      <c r="E373" s="2" t="s">
        <v>2665</v>
      </c>
      <c r="F373" s="2"/>
      <c r="G373" s="2" t="s">
        <v>588</v>
      </c>
      <c r="H373" s="2" t="s">
        <v>536</v>
      </c>
      <c r="I373" s="2" t="s">
        <v>3109</v>
      </c>
      <c r="J373" s="2" t="s">
        <v>3190</v>
      </c>
      <c r="K373" s="2" t="s">
        <v>1787</v>
      </c>
      <c r="L373" s="2" t="s">
        <v>95</v>
      </c>
      <c r="M373" s="7" t="s">
        <v>589</v>
      </c>
      <c r="N373" s="2" t="s">
        <v>3213</v>
      </c>
      <c r="O373" s="2"/>
      <c r="P373" s="2" t="s">
        <v>3173</v>
      </c>
      <c r="Q373" s="2" t="s">
        <v>3172</v>
      </c>
      <c r="R373" s="2" t="s">
        <v>3158</v>
      </c>
      <c r="S373" s="2" t="s">
        <v>2347</v>
      </c>
      <c r="T373" s="2" t="s">
        <v>2368</v>
      </c>
      <c r="U373" s="2" t="s">
        <v>91</v>
      </c>
      <c r="V373" s="2" t="s">
        <v>2388</v>
      </c>
      <c r="W373" s="2"/>
      <c r="Y373" t="str">
        <f>PROPER(Table1[[#This Row],[Industry]])</f>
        <v>Хранително-Вкусова Индустрия</v>
      </c>
      <c r="Z373" t="str">
        <f>PROPER(Table1[[#This Row],[Insole]])</f>
        <v>Текстил, Антибактериална Стелка, Ортопедична Стелка,Сменяема Стелка</v>
      </c>
    </row>
    <row r="374" spans="1:26" ht="12.75" customHeight="1" x14ac:dyDescent="0.2">
      <c r="A374" s="2" t="s">
        <v>603</v>
      </c>
      <c r="B374" s="2" t="s">
        <v>604</v>
      </c>
      <c r="C374" s="2" t="s">
        <v>605</v>
      </c>
      <c r="D374" s="2" t="s">
        <v>1868</v>
      </c>
      <c r="E374" s="2" t="s">
        <v>2668</v>
      </c>
      <c r="F374" s="2"/>
      <c r="G374" s="2" t="s">
        <v>588</v>
      </c>
      <c r="H374" s="2" t="s">
        <v>536</v>
      </c>
      <c r="I374" s="2" t="s">
        <v>3109</v>
      </c>
      <c r="J374" s="2" t="s">
        <v>3190</v>
      </c>
      <c r="K374" s="2" t="s">
        <v>1787</v>
      </c>
      <c r="L374" s="2" t="s">
        <v>95</v>
      </c>
      <c r="M374" s="7" t="s">
        <v>602</v>
      </c>
      <c r="N374" s="2" t="s">
        <v>3213</v>
      </c>
      <c r="O374" s="2"/>
      <c r="P374" s="2" t="s">
        <v>3173</v>
      </c>
      <c r="Q374" s="2" t="s">
        <v>3172</v>
      </c>
      <c r="R374" s="2" t="s">
        <v>3158</v>
      </c>
      <c r="S374" s="2" t="s">
        <v>2347</v>
      </c>
      <c r="T374" s="2" t="s">
        <v>2368</v>
      </c>
      <c r="U374" s="2" t="s">
        <v>91</v>
      </c>
      <c r="V374" s="2" t="s">
        <v>2430</v>
      </c>
      <c r="W374" s="2"/>
      <c r="Y374" t="str">
        <f>PROPER(Table1[[#This Row],[Industry]])</f>
        <v>Хранително-Вкусова Индустрия</v>
      </c>
      <c r="Z374" t="str">
        <f>PROPER(Table1[[#This Row],[Insole]])</f>
        <v>Текстил, Антибактериална Стелка, Ортопедична Стелка,Сменяема Стелка</v>
      </c>
    </row>
    <row r="375" spans="1:26" ht="12.75" customHeight="1" x14ac:dyDescent="0.2">
      <c r="A375" s="2" t="s">
        <v>631</v>
      </c>
      <c r="B375" s="2" t="s">
        <v>632</v>
      </c>
      <c r="C375" s="2" t="s">
        <v>633</v>
      </c>
      <c r="D375" s="2" t="s">
        <v>1871</v>
      </c>
      <c r="E375" s="2" t="s">
        <v>2677</v>
      </c>
      <c r="F375" s="2"/>
      <c r="G375" s="2" t="s">
        <v>588</v>
      </c>
      <c r="H375" s="2" t="s">
        <v>536</v>
      </c>
      <c r="I375" s="2" t="s">
        <v>3109</v>
      </c>
      <c r="J375" s="2" t="s">
        <v>3190</v>
      </c>
      <c r="K375" s="2" t="s">
        <v>1787</v>
      </c>
      <c r="L375" s="2" t="s">
        <v>95</v>
      </c>
      <c r="M375" s="7" t="s">
        <v>602</v>
      </c>
      <c r="N375" s="2" t="s">
        <v>3213</v>
      </c>
      <c r="O375" s="2"/>
      <c r="P375" s="2" t="s">
        <v>3173</v>
      </c>
      <c r="Q375" s="2" t="s">
        <v>3172</v>
      </c>
      <c r="R375" s="2" t="s">
        <v>3158</v>
      </c>
      <c r="S375" s="2" t="s">
        <v>2347</v>
      </c>
      <c r="T375" s="2" t="s">
        <v>2355</v>
      </c>
      <c r="U375" s="2" t="s">
        <v>91</v>
      </c>
      <c r="V375" s="2" t="s">
        <v>2430</v>
      </c>
      <c r="W375" s="2"/>
      <c r="Y375" t="str">
        <f>PROPER(Table1[[#This Row],[Industry]])</f>
        <v>Хранително-Вкусова Индустрия</v>
      </c>
      <c r="Z375" t="str">
        <f>PROPER(Table1[[#This Row],[Insole]])</f>
        <v>Текстил, Антибактериална Стелка, Ортопедична Стелка,Сменяема Стелка</v>
      </c>
    </row>
    <row r="376" spans="1:26" ht="12.75" customHeight="1" x14ac:dyDescent="0.2">
      <c r="A376" s="2" t="s">
        <v>1238</v>
      </c>
      <c r="B376" s="2" t="s">
        <v>1239</v>
      </c>
      <c r="C376" s="2" t="s">
        <v>1240</v>
      </c>
      <c r="D376" s="2" t="s">
        <v>1922</v>
      </c>
      <c r="E376" s="2" t="s">
        <v>2868</v>
      </c>
      <c r="F376" s="2"/>
      <c r="G376" s="2" t="s">
        <v>588</v>
      </c>
      <c r="H376" s="2" t="s">
        <v>536</v>
      </c>
      <c r="I376" s="2" t="s">
        <v>3109</v>
      </c>
      <c r="J376" s="2" t="s">
        <v>3190</v>
      </c>
      <c r="K376" s="2" t="s">
        <v>1787</v>
      </c>
      <c r="L376" s="2" t="s">
        <v>95</v>
      </c>
      <c r="M376" s="7" t="s">
        <v>602</v>
      </c>
      <c r="N376" s="2" t="s">
        <v>3213</v>
      </c>
      <c r="O376" s="2"/>
      <c r="P376" s="2" t="s">
        <v>3173</v>
      </c>
      <c r="Q376" s="2" t="s">
        <v>3172</v>
      </c>
      <c r="R376" s="2" t="s">
        <v>3158</v>
      </c>
      <c r="S376" s="2" t="s">
        <v>2347</v>
      </c>
      <c r="T376" s="2" t="s">
        <v>2368</v>
      </c>
      <c r="U376" s="2" t="s">
        <v>91</v>
      </c>
      <c r="V376" s="2" t="s">
        <v>2431</v>
      </c>
      <c r="W376" s="2"/>
      <c r="Y376" t="str">
        <f>PROPER(Table1[[#This Row],[Industry]])</f>
        <v>Хранително-Вкусова Индустрия</v>
      </c>
      <c r="Z376" t="str">
        <f>PROPER(Table1[[#This Row],[Insole]])</f>
        <v>Текстил, Антибактериална Стелка, Ортопедична Стелка,Сменяема Стелка</v>
      </c>
    </row>
    <row r="377" spans="1:26" ht="12.75" customHeight="1" x14ac:dyDescent="0.2">
      <c r="A377" s="2" t="s">
        <v>1259</v>
      </c>
      <c r="B377" s="2" t="s">
        <v>1260</v>
      </c>
      <c r="C377" s="2" t="s">
        <v>1261</v>
      </c>
      <c r="D377" s="2" t="s">
        <v>2234</v>
      </c>
      <c r="E377" s="2" t="s">
        <v>2875</v>
      </c>
      <c r="F377" s="2"/>
      <c r="G377" s="2" t="s">
        <v>588</v>
      </c>
      <c r="H377" s="2" t="s">
        <v>536</v>
      </c>
      <c r="I377" s="2" t="s">
        <v>3131</v>
      </c>
      <c r="J377" s="2" t="s">
        <v>3190</v>
      </c>
      <c r="K377" s="2" t="s">
        <v>2211</v>
      </c>
      <c r="L377" s="2" t="s">
        <v>95</v>
      </c>
      <c r="M377" s="7" t="s">
        <v>602</v>
      </c>
      <c r="N377" s="2" t="s">
        <v>3333</v>
      </c>
      <c r="O377" s="2"/>
      <c r="P377" s="2" t="s">
        <v>3162</v>
      </c>
      <c r="Q377" s="2" t="s">
        <v>3172</v>
      </c>
      <c r="R377" s="2" t="s">
        <v>3158</v>
      </c>
      <c r="S377" s="2" t="s">
        <v>2349</v>
      </c>
      <c r="T377" s="2" t="s">
        <v>2355</v>
      </c>
      <c r="U377" s="2" t="s">
        <v>91</v>
      </c>
      <c r="V377" s="2" t="s">
        <v>2381</v>
      </c>
      <c r="W377" s="2"/>
      <c r="Y377" t="str">
        <f>PROPER(Table1[[#This Row],[Industry]])</f>
        <v>Електронна Индустрия</v>
      </c>
      <c r="Z377" t="str">
        <f>PROPER(Table1[[#This Row],[Insole]])</f>
        <v>Текстил, Антибактериална Стелка, Ортопедична Стелка,Сменяема Стелка</v>
      </c>
    </row>
    <row r="378" spans="1:26" ht="12.75" customHeight="1" x14ac:dyDescent="0.2">
      <c r="A378" s="2" t="s">
        <v>622</v>
      </c>
      <c r="B378" s="2" t="s">
        <v>623</v>
      </c>
      <c r="C378" s="2" t="s">
        <v>624</v>
      </c>
      <c r="D378" s="2" t="s">
        <v>2261</v>
      </c>
      <c r="E378" s="2" t="s">
        <v>2674</v>
      </c>
      <c r="F378" s="2"/>
      <c r="G378" s="2" t="s">
        <v>588</v>
      </c>
      <c r="H378" s="2" t="s">
        <v>536</v>
      </c>
      <c r="I378" s="2" t="s">
        <v>3120</v>
      </c>
      <c r="J378" s="2" t="s">
        <v>3190</v>
      </c>
      <c r="K378" s="2" t="s">
        <v>2262</v>
      </c>
      <c r="L378" s="2" t="s">
        <v>95</v>
      </c>
      <c r="M378" s="7" t="s">
        <v>602</v>
      </c>
      <c r="N378" s="2" t="s">
        <v>3334</v>
      </c>
      <c r="O378" s="2"/>
      <c r="P378" s="2" t="s">
        <v>3162</v>
      </c>
      <c r="Q378" s="2" t="s">
        <v>3172</v>
      </c>
      <c r="R378" s="2" t="s">
        <v>3158</v>
      </c>
      <c r="S378" s="2" t="s">
        <v>2347</v>
      </c>
      <c r="T378" s="2" t="s">
        <v>2355</v>
      </c>
      <c r="U378" s="2" t="s">
        <v>91</v>
      </c>
      <c r="V378" s="2" t="s">
        <v>2431</v>
      </c>
      <c r="W378" s="2"/>
      <c r="Y378" t="str">
        <f>PROPER(Table1[[#This Row],[Industry]])</f>
        <v>Хорека, Болничен Персонал, Медицинска Индустрия, Фармацевтика</v>
      </c>
      <c r="Z378" t="str">
        <f>PROPER(Table1[[#This Row],[Insole]])</f>
        <v>Текстил, Антибактериална Стелка, Ортопедична Стелка,Сменяема Стелка</v>
      </c>
    </row>
    <row r="379" spans="1:26" ht="12.75" customHeight="1" x14ac:dyDescent="0.2">
      <c r="A379" s="2" t="s">
        <v>619</v>
      </c>
      <c r="B379" s="2" t="s">
        <v>620</v>
      </c>
      <c r="C379" s="2" t="s">
        <v>621</v>
      </c>
      <c r="D379" s="2" t="s">
        <v>2223</v>
      </c>
      <c r="E379" s="2" t="s">
        <v>2673</v>
      </c>
      <c r="F379" s="2"/>
      <c r="G379" s="2" t="s">
        <v>588</v>
      </c>
      <c r="H379" s="2" t="s">
        <v>536</v>
      </c>
      <c r="I379" s="2" t="s">
        <v>3120</v>
      </c>
      <c r="J379" s="2" t="s">
        <v>3190</v>
      </c>
      <c r="K379" s="2" t="s">
        <v>2211</v>
      </c>
      <c r="L379" s="2" t="s">
        <v>95</v>
      </c>
      <c r="M379" s="7" t="s">
        <v>602</v>
      </c>
      <c r="N379" s="2" t="s">
        <v>3334</v>
      </c>
      <c r="O379" s="2"/>
      <c r="P379" s="2" t="s">
        <v>3162</v>
      </c>
      <c r="Q379" s="2" t="s">
        <v>3172</v>
      </c>
      <c r="R379" s="2" t="s">
        <v>3158</v>
      </c>
      <c r="S379" s="2" t="s">
        <v>2347</v>
      </c>
      <c r="T379" s="2" t="s">
        <v>2355</v>
      </c>
      <c r="U379" s="2" t="s">
        <v>91</v>
      </c>
      <c r="V379" s="2" t="s">
        <v>2431</v>
      </c>
      <c r="W379" s="2"/>
      <c r="Y379" t="str">
        <f>PROPER(Table1[[#This Row],[Industry]])</f>
        <v>Хорека, Болничен Персонал, Медицинска Индустрия, Фармацевтика</v>
      </c>
      <c r="Z379" t="str">
        <f>PROPER(Table1[[#This Row],[Insole]])</f>
        <v>Текстил, Антибактериална Стелка, Ортопедична Стелка,Сменяема Стелка</v>
      </c>
    </row>
    <row r="380" spans="1:26" ht="12.75" customHeight="1" x14ac:dyDescent="0.2">
      <c r="A380" s="2" t="s">
        <v>590</v>
      </c>
      <c r="B380" s="2" t="s">
        <v>591</v>
      </c>
      <c r="C380" s="2" t="s">
        <v>592</v>
      </c>
      <c r="D380" s="2" t="s">
        <v>1994</v>
      </c>
      <c r="E380" s="2" t="s">
        <v>2664</v>
      </c>
      <c r="F380" s="2"/>
      <c r="G380" s="2" t="s">
        <v>588</v>
      </c>
      <c r="H380" s="2" t="s">
        <v>536</v>
      </c>
      <c r="I380" s="2" t="s">
        <v>3109</v>
      </c>
      <c r="J380" s="2" t="s">
        <v>3190</v>
      </c>
      <c r="K380" s="2" t="s">
        <v>1984</v>
      </c>
      <c r="L380" s="2" t="s">
        <v>95</v>
      </c>
      <c r="M380" s="7" t="s">
        <v>589</v>
      </c>
      <c r="N380" s="2" t="s">
        <v>3196</v>
      </c>
      <c r="O380" s="2"/>
      <c r="P380" s="2" t="s">
        <v>3162</v>
      </c>
      <c r="Q380" s="2" t="s">
        <v>3172</v>
      </c>
      <c r="R380" s="2" t="s">
        <v>3158</v>
      </c>
      <c r="S380" s="2" t="s">
        <v>2347</v>
      </c>
      <c r="T380" s="2" t="s">
        <v>2355</v>
      </c>
      <c r="U380" s="2" t="s">
        <v>91</v>
      </c>
      <c r="V380" s="2" t="s">
        <v>2404</v>
      </c>
      <c r="W380" s="2"/>
      <c r="Y380" t="str">
        <f>PROPER(Table1[[#This Row],[Industry]])</f>
        <v>Хранително-Вкусова Индустрия</v>
      </c>
      <c r="Z380" t="str">
        <f>PROPER(Table1[[#This Row],[Insole]])</f>
        <v>Текстил, Антибактериална Стелка, Ортопедична Стелка,Сменяема Стелка</v>
      </c>
    </row>
    <row r="381" spans="1:26" ht="12.75" customHeight="1" x14ac:dyDescent="0.2">
      <c r="A381" s="2" t="s">
        <v>585</v>
      </c>
      <c r="B381" s="2" t="s">
        <v>586</v>
      </c>
      <c r="C381" s="2" t="s">
        <v>587</v>
      </c>
      <c r="D381" s="2" t="s">
        <v>1865</v>
      </c>
      <c r="E381" s="2" t="s">
        <v>2663</v>
      </c>
      <c r="F381" s="2"/>
      <c r="G381" s="2" t="s">
        <v>588</v>
      </c>
      <c r="H381" s="2" t="s">
        <v>536</v>
      </c>
      <c r="I381" s="2" t="s">
        <v>3109</v>
      </c>
      <c r="J381" s="2" t="s">
        <v>3190</v>
      </c>
      <c r="K381" s="2" t="s">
        <v>1787</v>
      </c>
      <c r="L381" s="2" t="s">
        <v>95</v>
      </c>
      <c r="M381" s="7" t="s">
        <v>589</v>
      </c>
      <c r="N381" s="2" t="s">
        <v>3196</v>
      </c>
      <c r="O381" s="2"/>
      <c r="P381" s="2" t="s">
        <v>3162</v>
      </c>
      <c r="Q381" s="2" t="s">
        <v>3172</v>
      </c>
      <c r="R381" s="2" t="s">
        <v>3158</v>
      </c>
      <c r="S381" s="2" t="s">
        <v>2347</v>
      </c>
      <c r="T381" s="2" t="s">
        <v>2355</v>
      </c>
      <c r="U381" s="2" t="s">
        <v>91</v>
      </c>
      <c r="V381" s="2" t="s">
        <v>2404</v>
      </c>
      <c r="W381" s="2"/>
      <c r="Y381" t="str">
        <f>PROPER(Table1[[#This Row],[Industry]])</f>
        <v>Хранително-Вкусова Индустрия</v>
      </c>
      <c r="Z381" t="str">
        <f>PROPER(Table1[[#This Row],[Insole]])</f>
        <v>Текстил, Антибактериална Стелка, Ортопедична Стелка,Сменяема Стелка</v>
      </c>
    </row>
    <row r="382" spans="1:26" ht="12.75" customHeight="1" x14ac:dyDescent="0.2">
      <c r="A382" s="2" t="s">
        <v>1228</v>
      </c>
      <c r="B382" s="2" t="s">
        <v>1229</v>
      </c>
      <c r="C382" s="2" t="s">
        <v>1230</v>
      </c>
      <c r="D382" s="2" t="s">
        <v>1920</v>
      </c>
      <c r="E382" s="2" t="s">
        <v>2865</v>
      </c>
      <c r="F382" s="2"/>
      <c r="G382" s="2" t="s">
        <v>588</v>
      </c>
      <c r="H382" s="2" t="s">
        <v>536</v>
      </c>
      <c r="I382" s="2" t="s">
        <v>3108</v>
      </c>
      <c r="J382" s="2" t="s">
        <v>3190</v>
      </c>
      <c r="K382" s="2" t="s">
        <v>1787</v>
      </c>
      <c r="L382" s="2" t="s">
        <v>95</v>
      </c>
      <c r="M382" s="7" t="s">
        <v>589</v>
      </c>
      <c r="N382" s="2" t="s">
        <v>3196</v>
      </c>
      <c r="O382" s="2"/>
      <c r="P382" s="2" t="s">
        <v>3162</v>
      </c>
      <c r="Q382" s="2" t="s">
        <v>3172</v>
      </c>
      <c r="R382" s="2" t="s">
        <v>3158</v>
      </c>
      <c r="S382" s="2" t="s">
        <v>2347</v>
      </c>
      <c r="T382" s="2" t="s">
        <v>2355</v>
      </c>
      <c r="U382" s="2" t="s">
        <v>91</v>
      </c>
      <c r="V382" s="2" t="s">
        <v>2381</v>
      </c>
      <c r="W382" s="2"/>
      <c r="Y382" t="str">
        <f>PROPER(Table1[[#This Row],[Industry]])</f>
        <v>Медицинска Индустрия</v>
      </c>
      <c r="Z382" t="str">
        <f>PROPER(Table1[[#This Row],[Insole]])</f>
        <v>Текстил, Антибактериална Стелка, Ортопедична Стелка,Сменяема Стелка</v>
      </c>
    </row>
    <row r="383" spans="1:26" ht="12.75" customHeight="1" x14ac:dyDescent="0.2">
      <c r="A383" s="2" t="s">
        <v>616</v>
      </c>
      <c r="B383" s="2" t="s">
        <v>617</v>
      </c>
      <c r="C383" s="2" t="s">
        <v>618</v>
      </c>
      <c r="D383" s="2" t="s">
        <v>1997</v>
      </c>
      <c r="E383" s="2" t="s">
        <v>2672</v>
      </c>
      <c r="F383" s="2"/>
      <c r="G383" s="2" t="s">
        <v>588</v>
      </c>
      <c r="H383" s="2" t="s">
        <v>536</v>
      </c>
      <c r="I383" s="2" t="s">
        <v>3120</v>
      </c>
      <c r="J383" s="2" t="s">
        <v>3190</v>
      </c>
      <c r="K383" s="2" t="s">
        <v>1984</v>
      </c>
      <c r="L383" s="2" t="s">
        <v>95</v>
      </c>
      <c r="M383" s="7" t="s">
        <v>602</v>
      </c>
      <c r="N383" s="2" t="s">
        <v>3208</v>
      </c>
      <c r="O383" s="2"/>
      <c r="P383" s="2" t="s">
        <v>3162</v>
      </c>
      <c r="Q383" s="2" t="s">
        <v>3172</v>
      </c>
      <c r="R383" s="2" t="s">
        <v>3158</v>
      </c>
      <c r="S383" s="2" t="s">
        <v>2347</v>
      </c>
      <c r="T383" s="2" t="s">
        <v>2355</v>
      </c>
      <c r="U383" s="2" t="s">
        <v>91</v>
      </c>
      <c r="V383" s="2" t="s">
        <v>2431</v>
      </c>
      <c r="W383" s="2"/>
      <c r="Y383" t="str">
        <f>PROPER(Table1[[#This Row],[Industry]])</f>
        <v>Хорека, Болничен Персонал, Медицинска Индустрия, Фармацевтика</v>
      </c>
      <c r="Z383" t="str">
        <f>PROPER(Table1[[#This Row],[Insole]])</f>
        <v>Текстил, Антибактериална Стелка, Ортопедична Стелка,Сменяема Стелка</v>
      </c>
    </row>
    <row r="384" spans="1:26" ht="12.75" customHeight="1" x14ac:dyDescent="0.2">
      <c r="A384" s="2" t="s">
        <v>1256</v>
      </c>
      <c r="B384" s="2" t="s">
        <v>1257</v>
      </c>
      <c r="C384" s="2" t="s">
        <v>1258</v>
      </c>
      <c r="D384" s="2" t="s">
        <v>2054</v>
      </c>
      <c r="E384" s="2" t="s">
        <v>2874</v>
      </c>
      <c r="F384" s="2"/>
      <c r="G384" s="2" t="s">
        <v>588</v>
      </c>
      <c r="H384" s="2" t="s">
        <v>536</v>
      </c>
      <c r="I384" s="2" t="s">
        <v>3108</v>
      </c>
      <c r="J384" s="2" t="s">
        <v>3190</v>
      </c>
      <c r="K384" s="2" t="s">
        <v>1984</v>
      </c>
      <c r="L384" s="2" t="s">
        <v>95</v>
      </c>
      <c r="M384" s="7" t="s">
        <v>602</v>
      </c>
      <c r="N384" s="2" t="s">
        <v>3208</v>
      </c>
      <c r="O384" s="2"/>
      <c r="P384" s="2" t="s">
        <v>3162</v>
      </c>
      <c r="Q384" s="2" t="s">
        <v>3172</v>
      </c>
      <c r="R384" s="2" t="s">
        <v>3158</v>
      </c>
      <c r="S384" s="2" t="s">
        <v>2347</v>
      </c>
      <c r="T384" s="2" t="s">
        <v>2355</v>
      </c>
      <c r="U384" s="2" t="s">
        <v>91</v>
      </c>
      <c r="V384" s="2" t="s">
        <v>2381</v>
      </c>
      <c r="W384" s="2"/>
      <c r="Y384" t="str">
        <f>PROPER(Table1[[#This Row],[Industry]])</f>
        <v>Медицинска Индустрия</v>
      </c>
      <c r="Z384" t="str">
        <f>PROPER(Table1[[#This Row],[Insole]])</f>
        <v>Текстил, Антибактериална Стелка, Ортопедична Стелка,Сменяема Стелка</v>
      </c>
    </row>
    <row r="385" spans="1:26" ht="12.75" customHeight="1" x14ac:dyDescent="0.2">
      <c r="A385" s="2" t="s">
        <v>625</v>
      </c>
      <c r="B385" s="2" t="s">
        <v>626</v>
      </c>
      <c r="C385" s="2" t="s">
        <v>627</v>
      </c>
      <c r="D385" s="2" t="s">
        <v>2117</v>
      </c>
      <c r="E385" s="2" t="s">
        <v>2675</v>
      </c>
      <c r="F385" s="2"/>
      <c r="G385" s="2" t="s">
        <v>588</v>
      </c>
      <c r="H385" s="2" t="s">
        <v>536</v>
      </c>
      <c r="I385" s="2" t="s">
        <v>3120</v>
      </c>
      <c r="J385" s="2" t="s">
        <v>3190</v>
      </c>
      <c r="K385" s="2" t="s">
        <v>2104</v>
      </c>
      <c r="L385" s="2" t="s">
        <v>95</v>
      </c>
      <c r="M385" s="7" t="s">
        <v>602</v>
      </c>
      <c r="N385" s="2" t="s">
        <v>3208</v>
      </c>
      <c r="O385" s="2"/>
      <c r="P385" s="2" t="s">
        <v>3162</v>
      </c>
      <c r="Q385" s="2" t="s">
        <v>3172</v>
      </c>
      <c r="R385" s="2" t="s">
        <v>3158</v>
      </c>
      <c r="S385" s="2" t="s">
        <v>2347</v>
      </c>
      <c r="T385" s="2" t="s">
        <v>2355</v>
      </c>
      <c r="U385" s="2" t="s">
        <v>91</v>
      </c>
      <c r="V385" s="2" t="s">
        <v>2431</v>
      </c>
      <c r="W385" s="2"/>
      <c r="Y385" t="str">
        <f>PROPER(Table1[[#This Row],[Industry]])</f>
        <v>Хорека, Болничен Персонал, Медицинска Индустрия, Фармацевтика</v>
      </c>
      <c r="Z385" t="str">
        <f>PROPER(Table1[[#This Row],[Insole]])</f>
        <v>Текстил, Антибактериална Стелка, Ортопедична Стелка,Сменяема Стелка</v>
      </c>
    </row>
    <row r="386" spans="1:26" ht="12.75" customHeight="1" x14ac:dyDescent="0.2">
      <c r="A386" s="2" t="s">
        <v>1262</v>
      </c>
      <c r="B386" s="2" t="s">
        <v>1263</v>
      </c>
      <c r="C386" s="2" t="s">
        <v>1264</v>
      </c>
      <c r="D386" s="2" t="s">
        <v>2126</v>
      </c>
      <c r="E386" s="2" t="s">
        <v>2876</v>
      </c>
      <c r="F386" s="2"/>
      <c r="G386" s="2" t="s">
        <v>588</v>
      </c>
      <c r="H386" s="2" t="s">
        <v>536</v>
      </c>
      <c r="I386" s="2" t="s">
        <v>3108</v>
      </c>
      <c r="J386" s="2" t="s">
        <v>3190</v>
      </c>
      <c r="K386" s="2" t="s">
        <v>2104</v>
      </c>
      <c r="L386" s="2" t="s">
        <v>95</v>
      </c>
      <c r="M386" s="7" t="s">
        <v>602</v>
      </c>
      <c r="N386" s="2" t="s">
        <v>3208</v>
      </c>
      <c r="O386" s="2"/>
      <c r="P386" s="2" t="s">
        <v>3162</v>
      </c>
      <c r="Q386" s="2" t="s">
        <v>3172</v>
      </c>
      <c r="R386" s="2" t="s">
        <v>3158</v>
      </c>
      <c r="S386" s="2" t="s">
        <v>2347</v>
      </c>
      <c r="T386" s="2" t="s">
        <v>2355</v>
      </c>
      <c r="U386" s="2" t="s">
        <v>91</v>
      </c>
      <c r="V386" s="2" t="s">
        <v>2381</v>
      </c>
      <c r="W386" s="2"/>
      <c r="Y386" t="str">
        <f>PROPER(Table1[[#This Row],[Industry]])</f>
        <v>Медицинска Индустрия</v>
      </c>
      <c r="Z386" t="str">
        <f>PROPER(Table1[[#This Row],[Insole]])</f>
        <v>Текстил, Антибактериална Стелка, Ортопедична Стелка,Сменяема Стелка</v>
      </c>
    </row>
    <row r="387" spans="1:26" ht="12.75" customHeight="1" x14ac:dyDescent="0.2">
      <c r="A387" s="2" t="s">
        <v>596</v>
      </c>
      <c r="B387" s="2" t="s">
        <v>597</v>
      </c>
      <c r="C387" s="2" t="s">
        <v>598</v>
      </c>
      <c r="D387" s="2" t="s">
        <v>1867</v>
      </c>
      <c r="E387" s="2" t="s">
        <v>2666</v>
      </c>
      <c r="F387" s="2"/>
      <c r="G387" s="2" t="s">
        <v>588</v>
      </c>
      <c r="H387" s="2" t="s">
        <v>536</v>
      </c>
      <c r="I387" s="2" t="s">
        <v>3116</v>
      </c>
      <c r="J387" s="2" t="s">
        <v>3190</v>
      </c>
      <c r="K387" s="2" t="s">
        <v>1787</v>
      </c>
      <c r="L387" s="2" t="s">
        <v>95</v>
      </c>
      <c r="M387" s="7" t="s">
        <v>589</v>
      </c>
      <c r="N387" s="2" t="s">
        <v>3208</v>
      </c>
      <c r="O387" s="2"/>
      <c r="P387" s="2" t="s">
        <v>3162</v>
      </c>
      <c r="Q387" s="2" t="s">
        <v>3172</v>
      </c>
      <c r="R387" s="2" t="s">
        <v>3158</v>
      </c>
      <c r="S387" s="2" t="s">
        <v>2347</v>
      </c>
      <c r="T387" s="2" t="s">
        <v>2355</v>
      </c>
      <c r="U387" s="2" t="s">
        <v>91</v>
      </c>
      <c r="V387" s="2" t="s">
        <v>2422</v>
      </c>
      <c r="W387" s="2"/>
      <c r="Y387" t="str">
        <f>PROPER(Table1[[#This Row],[Industry]])</f>
        <v>Хорека</v>
      </c>
      <c r="Z387" t="str">
        <f>PROPER(Table1[[#This Row],[Insole]])</f>
        <v>Текстил, Антибактериална Стелка, Ортопедична Стелка,Сменяема Стелка</v>
      </c>
    </row>
    <row r="388" spans="1:26" ht="12.75" customHeight="1" x14ac:dyDescent="0.2">
      <c r="A388" s="2" t="s">
        <v>640</v>
      </c>
      <c r="B388" s="2" t="s">
        <v>641</v>
      </c>
      <c r="C388" s="2" t="s">
        <v>642</v>
      </c>
      <c r="D388" s="2" t="s">
        <v>2001</v>
      </c>
      <c r="E388" s="2" t="s">
        <v>2680</v>
      </c>
      <c r="F388" s="2"/>
      <c r="G388" s="2" t="s">
        <v>588</v>
      </c>
      <c r="H388" s="2" t="s">
        <v>536</v>
      </c>
      <c r="I388" s="2" t="s">
        <v>3106</v>
      </c>
      <c r="J388" s="2" t="s">
        <v>3192</v>
      </c>
      <c r="K388" s="2" t="s">
        <v>1984</v>
      </c>
      <c r="L388" s="2" t="s">
        <v>95</v>
      </c>
      <c r="M388" s="7" t="s">
        <v>643</v>
      </c>
      <c r="N388" s="2" t="s">
        <v>3208</v>
      </c>
      <c r="O388" s="2"/>
      <c r="P388" s="2" t="s">
        <v>3173</v>
      </c>
      <c r="Q388" s="2" t="s">
        <v>3173</v>
      </c>
      <c r="R388" s="2" t="s">
        <v>3158</v>
      </c>
      <c r="S388" s="2" t="s">
        <v>2347</v>
      </c>
      <c r="T388" s="2" t="s">
        <v>2361</v>
      </c>
      <c r="U388" s="2" t="s">
        <v>91</v>
      </c>
      <c r="V388" s="2" t="s">
        <v>2432</v>
      </c>
      <c r="W388" s="2"/>
      <c r="Y388" t="str">
        <f>PROPER(Table1[[#This Row],[Industry]])</f>
        <v>Гастрономия / Кухня, Хорека, Болничен Персонал, Фармацевтика</v>
      </c>
      <c r="Z388" t="str">
        <f>PROPER(Table1[[#This Row],[Insole]])</f>
        <v>Текстил, Антибактериална Стелка, Ортопедична Стелка,Сменяема Стелка</v>
      </c>
    </row>
    <row r="389" spans="1:26" ht="12.75" customHeight="1" x14ac:dyDescent="0.2">
      <c r="A389" s="2" t="s">
        <v>1268</v>
      </c>
      <c r="B389" s="2" t="s">
        <v>1269</v>
      </c>
      <c r="C389" s="2" t="s">
        <v>1270</v>
      </c>
      <c r="D389" s="2" t="s">
        <v>2056</v>
      </c>
      <c r="E389" s="2" t="s">
        <v>2878</v>
      </c>
      <c r="F389" s="2"/>
      <c r="G389" s="2" t="s">
        <v>588</v>
      </c>
      <c r="H389" s="2" t="s">
        <v>536</v>
      </c>
      <c r="I389" s="2" t="s">
        <v>3108</v>
      </c>
      <c r="J389" s="2" t="s">
        <v>3192</v>
      </c>
      <c r="K389" s="2" t="s">
        <v>1984</v>
      </c>
      <c r="L389" s="2" t="s">
        <v>95</v>
      </c>
      <c r="M389" s="7" t="s">
        <v>643</v>
      </c>
      <c r="N389" s="2" t="s">
        <v>3208</v>
      </c>
      <c r="O389" s="2"/>
      <c r="P389" s="2" t="s">
        <v>3173</v>
      </c>
      <c r="Q389" s="2" t="s">
        <v>3175</v>
      </c>
      <c r="R389" s="2" t="s">
        <v>3158</v>
      </c>
      <c r="S389" s="2" t="s">
        <v>2347</v>
      </c>
      <c r="T389" s="2" t="s">
        <v>2361</v>
      </c>
      <c r="U389" s="2" t="s">
        <v>91</v>
      </c>
      <c r="V389" s="2" t="s">
        <v>2431</v>
      </c>
      <c r="W389" s="2"/>
      <c r="Y389" t="str">
        <f>PROPER(Table1[[#This Row],[Industry]])</f>
        <v>Медицинска Индустрия</v>
      </c>
      <c r="Z389" t="str">
        <f>PROPER(Table1[[#This Row],[Insole]])</f>
        <v>Текстил, Антибактериална Стелка, Ортопедична Стелка,Сменяема Стелка</v>
      </c>
    </row>
    <row r="390" spans="1:26" ht="12.75" customHeight="1" x14ac:dyDescent="0.2">
      <c r="A390" s="2" t="s">
        <v>644</v>
      </c>
      <c r="B390" s="2" t="s">
        <v>645</v>
      </c>
      <c r="C390" s="2" t="s">
        <v>646</v>
      </c>
      <c r="D390" s="2" t="s">
        <v>1872</v>
      </c>
      <c r="E390" s="2" t="s">
        <v>2681</v>
      </c>
      <c r="F390" s="2"/>
      <c r="G390" s="2" t="s">
        <v>588</v>
      </c>
      <c r="H390" s="2" t="s">
        <v>536</v>
      </c>
      <c r="I390" s="2" t="s">
        <v>3108</v>
      </c>
      <c r="J390" s="2" t="s">
        <v>3192</v>
      </c>
      <c r="K390" s="2" t="s">
        <v>1787</v>
      </c>
      <c r="L390" s="2" t="s">
        <v>95</v>
      </c>
      <c r="M390" s="7" t="s">
        <v>643</v>
      </c>
      <c r="N390" s="2" t="s">
        <v>3213</v>
      </c>
      <c r="O390" s="2"/>
      <c r="P390" s="2" t="s">
        <v>3173</v>
      </c>
      <c r="Q390" s="2" t="s">
        <v>3175</v>
      </c>
      <c r="R390" s="2" t="s">
        <v>3158</v>
      </c>
      <c r="S390" s="2" t="s">
        <v>2347</v>
      </c>
      <c r="T390" s="2" t="s">
        <v>2361</v>
      </c>
      <c r="U390" s="2" t="s">
        <v>91</v>
      </c>
      <c r="V390" s="2" t="s">
        <v>2432</v>
      </c>
      <c r="W390" s="2"/>
      <c r="Y390" t="str">
        <f>PROPER(Table1[[#This Row],[Industry]])</f>
        <v>Медицинска Индустрия</v>
      </c>
      <c r="Z390" t="str">
        <f>PROPER(Table1[[#This Row],[Insole]])</f>
        <v>Текстил, Антибактериална Стелка, Ортопедична Стелка,Сменяема Стелка</v>
      </c>
    </row>
    <row r="391" spans="1:26" ht="12.75" customHeight="1" x14ac:dyDescent="0.2">
      <c r="A391" s="2" t="s">
        <v>1362</v>
      </c>
      <c r="B391" s="2" t="s">
        <v>1363</v>
      </c>
      <c r="C391" s="2" t="s">
        <v>1364</v>
      </c>
      <c r="D391" s="2" t="s">
        <v>1943</v>
      </c>
      <c r="E391" s="2" t="s">
        <v>2907</v>
      </c>
      <c r="F391" s="2"/>
      <c r="G391" s="2" t="s">
        <v>588</v>
      </c>
      <c r="H391" s="2" t="s">
        <v>536</v>
      </c>
      <c r="I391" s="2" t="s">
        <v>3126</v>
      </c>
      <c r="J391" s="2" t="s">
        <v>3190</v>
      </c>
      <c r="K391" s="2" t="s">
        <v>1787</v>
      </c>
      <c r="L391" s="2" t="s">
        <v>41</v>
      </c>
      <c r="M391" s="7" t="s">
        <v>1365</v>
      </c>
      <c r="N391" s="2"/>
      <c r="O391" s="2"/>
      <c r="P391" s="2" t="s">
        <v>3184</v>
      </c>
      <c r="Q391" s="2" t="s">
        <v>3172</v>
      </c>
      <c r="R391" s="2" t="s">
        <v>3158</v>
      </c>
      <c r="S391" s="2" t="s">
        <v>2347</v>
      </c>
      <c r="T391" s="2" t="s">
        <v>2355</v>
      </c>
      <c r="U391" s="2" t="s">
        <v>91</v>
      </c>
      <c r="V391" s="2" t="s">
        <v>2432</v>
      </c>
      <c r="W391" s="2"/>
      <c r="Y391" t="str">
        <f>PROPER(Table1[[#This Row],[Industry]])</f>
        <v>Транспорт / Склад И Логистика</v>
      </c>
      <c r="Z391" t="str">
        <f>PROPER(Table1[[#This Row],[Insole]])</f>
        <v>Текстил, Антибактериална Стелка, Ортопедична Стелка,Сменяема Стелка</v>
      </c>
    </row>
    <row r="392" spans="1:26" ht="12.75" customHeight="1" x14ac:dyDescent="0.2">
      <c r="A392" s="2" t="s">
        <v>859</v>
      </c>
      <c r="B392" s="2" t="s">
        <v>860</v>
      </c>
      <c r="C392" s="2" t="s">
        <v>861</v>
      </c>
      <c r="D392" s="2" t="s">
        <v>2020</v>
      </c>
      <c r="E392" s="2" t="s">
        <v>2746</v>
      </c>
      <c r="F392" s="2"/>
      <c r="G392" s="2" t="s">
        <v>588</v>
      </c>
      <c r="H392" s="2" t="s">
        <v>536</v>
      </c>
      <c r="I392" s="2" t="s">
        <v>3114</v>
      </c>
      <c r="J392" s="2" t="s">
        <v>3190</v>
      </c>
      <c r="K392" s="2" t="s">
        <v>1984</v>
      </c>
      <c r="L392" s="2" t="s">
        <v>41</v>
      </c>
      <c r="M392" s="7" t="s">
        <v>862</v>
      </c>
      <c r="N392" s="2" t="s">
        <v>3219</v>
      </c>
      <c r="O392" s="2"/>
      <c r="P392" s="2" t="s">
        <v>3170</v>
      </c>
      <c r="Q392" s="2" t="s">
        <v>3172</v>
      </c>
      <c r="R392" s="2" t="s">
        <v>3158</v>
      </c>
      <c r="S392" s="2" t="s">
        <v>2347</v>
      </c>
      <c r="T392" s="2" t="s">
        <v>2355</v>
      </c>
      <c r="U392" s="2" t="s">
        <v>91</v>
      </c>
      <c r="V392" s="2" t="s">
        <v>2444</v>
      </c>
      <c r="W392" s="2"/>
      <c r="Y392" t="str">
        <f>PROPER(Table1[[#This Row],[Industry]])</f>
        <v>Болничен Персонал</v>
      </c>
      <c r="Z392" t="str">
        <f>PROPER(Table1[[#This Row],[Insole]])</f>
        <v>Текстил, Антибактериална Стелка, Ортопедична Стелка,Сменяема Стелка</v>
      </c>
    </row>
    <row r="393" spans="1:26" ht="12.75" customHeight="1" x14ac:dyDescent="0.2">
      <c r="A393" s="2" t="s">
        <v>1378</v>
      </c>
      <c r="B393" s="2" t="s">
        <v>1379</v>
      </c>
      <c r="C393" s="2" t="s">
        <v>1380</v>
      </c>
      <c r="D393" s="2" t="s">
        <v>2236</v>
      </c>
      <c r="E393" s="2" t="s">
        <v>2912</v>
      </c>
      <c r="F393" s="2"/>
      <c r="G393" s="2" t="s">
        <v>588</v>
      </c>
      <c r="H393" s="2" t="s">
        <v>536</v>
      </c>
      <c r="I393" s="2" t="s">
        <v>3114</v>
      </c>
      <c r="J393" s="2" t="s">
        <v>3190</v>
      </c>
      <c r="K393" s="2" t="s">
        <v>2211</v>
      </c>
      <c r="L393" s="2" t="s">
        <v>41</v>
      </c>
      <c r="M393" s="7" t="s">
        <v>862</v>
      </c>
      <c r="N393" s="2" t="s">
        <v>3219</v>
      </c>
      <c r="O393" s="2"/>
      <c r="P393" s="2" t="s">
        <v>3170</v>
      </c>
      <c r="Q393" s="2" t="s">
        <v>3172</v>
      </c>
      <c r="R393" s="2" t="s">
        <v>3158</v>
      </c>
      <c r="S393" s="2" t="s">
        <v>2347</v>
      </c>
      <c r="T393" s="2" t="s">
        <v>2355</v>
      </c>
      <c r="U393" s="2" t="s">
        <v>91</v>
      </c>
      <c r="V393" s="2" t="s">
        <v>2432</v>
      </c>
      <c r="W393" s="2"/>
      <c r="Y393" t="str">
        <f>PROPER(Table1[[#This Row],[Industry]])</f>
        <v>Болничен Персонал</v>
      </c>
      <c r="Z393" t="str">
        <f>PROPER(Table1[[#This Row],[Insole]])</f>
        <v>Текстил, Антибактериална Стелка, Ортопедична Стелка,Сменяема Стелка</v>
      </c>
    </row>
    <row r="394" spans="1:26" ht="12.75" customHeight="1" x14ac:dyDescent="0.2">
      <c r="A394" s="2" t="s">
        <v>863</v>
      </c>
      <c r="B394" s="2" t="s">
        <v>864</v>
      </c>
      <c r="C394" s="2" t="s">
        <v>865</v>
      </c>
      <c r="D394" s="2" t="s">
        <v>1897</v>
      </c>
      <c r="E394" s="2" t="s">
        <v>2747</v>
      </c>
      <c r="F394" s="2"/>
      <c r="G394" s="2" t="s">
        <v>588</v>
      </c>
      <c r="H394" s="2" t="s">
        <v>536</v>
      </c>
      <c r="I394" s="2" t="s">
        <v>3114</v>
      </c>
      <c r="J394" s="2" t="s">
        <v>3190</v>
      </c>
      <c r="K394" s="2" t="s">
        <v>1787</v>
      </c>
      <c r="L394" s="2" t="s">
        <v>41</v>
      </c>
      <c r="M394" s="7" t="s">
        <v>849</v>
      </c>
      <c r="N394" s="2" t="s">
        <v>3219</v>
      </c>
      <c r="O394" s="2"/>
      <c r="P394" s="2" t="s">
        <v>3170</v>
      </c>
      <c r="Q394" s="2" t="s">
        <v>3172</v>
      </c>
      <c r="R394" s="2" t="s">
        <v>3158</v>
      </c>
      <c r="S394" s="2" t="s">
        <v>2347</v>
      </c>
      <c r="T394" s="2" t="s">
        <v>2355</v>
      </c>
      <c r="U394" s="2" t="s">
        <v>91</v>
      </c>
      <c r="V394" s="2" t="s">
        <v>2444</v>
      </c>
      <c r="W394" s="2"/>
      <c r="Y394" t="str">
        <f>PROPER(Table1[[#This Row],[Industry]])</f>
        <v>Болничен Персонал</v>
      </c>
      <c r="Z394" t="str">
        <f>PROPER(Table1[[#This Row],[Insole]])</f>
        <v>Текстил, Антибактериална Стелка, Ортопедична Стелка,Сменяема Стелка</v>
      </c>
    </row>
    <row r="395" spans="1:26" ht="12.75" customHeight="1" x14ac:dyDescent="0.2">
      <c r="A395" s="2" t="s">
        <v>1375</v>
      </c>
      <c r="B395" s="2" t="s">
        <v>1376</v>
      </c>
      <c r="C395" s="2" t="s">
        <v>1377</v>
      </c>
      <c r="D395" s="2" t="s">
        <v>1945</v>
      </c>
      <c r="E395" s="2" t="s">
        <v>2911</v>
      </c>
      <c r="F395" s="2"/>
      <c r="G395" s="2" t="s">
        <v>588</v>
      </c>
      <c r="H395" s="2" t="s">
        <v>536</v>
      </c>
      <c r="I395" s="2" t="s">
        <v>3131</v>
      </c>
      <c r="J395" s="2" t="s">
        <v>3190</v>
      </c>
      <c r="K395" s="2" t="s">
        <v>1787</v>
      </c>
      <c r="L395" s="2" t="s">
        <v>41</v>
      </c>
      <c r="M395" s="7" t="s">
        <v>849</v>
      </c>
      <c r="N395" s="2" t="s">
        <v>3219</v>
      </c>
      <c r="O395" s="2"/>
      <c r="P395" s="2" t="s">
        <v>3170</v>
      </c>
      <c r="Q395" s="2" t="s">
        <v>3172</v>
      </c>
      <c r="R395" s="2" t="s">
        <v>3158</v>
      </c>
      <c r="S395" s="2" t="s">
        <v>2347</v>
      </c>
      <c r="T395" s="2" t="s">
        <v>2355</v>
      </c>
      <c r="U395" s="2" t="s">
        <v>91</v>
      </c>
      <c r="V395" s="2" t="s">
        <v>2432</v>
      </c>
      <c r="W395" s="2"/>
      <c r="Y395" t="str">
        <f>PROPER(Table1[[#This Row],[Industry]])</f>
        <v>Електронна Индустрия</v>
      </c>
      <c r="Z395" t="str">
        <f>PROPER(Table1[[#This Row],[Insole]])</f>
        <v>Текстил, Антибактериална Стелка, Ортопедична Стелка,Сменяема Стелка</v>
      </c>
    </row>
    <row r="396" spans="1:26" ht="12.75" customHeight="1" x14ac:dyDescent="0.2">
      <c r="A396" s="2" t="s">
        <v>856</v>
      </c>
      <c r="B396" s="2" t="s">
        <v>857</v>
      </c>
      <c r="C396" s="2" t="s">
        <v>858</v>
      </c>
      <c r="D396" s="2" t="s">
        <v>2019</v>
      </c>
      <c r="E396" s="2" t="s">
        <v>2745</v>
      </c>
      <c r="F396" s="2"/>
      <c r="G396" s="2" t="s">
        <v>588</v>
      </c>
      <c r="H396" s="2" t="s">
        <v>536</v>
      </c>
      <c r="I396" s="2" t="s">
        <v>3116</v>
      </c>
      <c r="J396" s="2" t="s">
        <v>3190</v>
      </c>
      <c r="K396" s="2" t="s">
        <v>1984</v>
      </c>
      <c r="L396" s="2" t="s">
        <v>41</v>
      </c>
      <c r="M396" s="7" t="s">
        <v>849</v>
      </c>
      <c r="N396" s="2"/>
      <c r="O396" s="2"/>
      <c r="P396" s="2" t="s">
        <v>3170</v>
      </c>
      <c r="Q396" s="2" t="s">
        <v>3175</v>
      </c>
      <c r="R396" s="2" t="s">
        <v>3158</v>
      </c>
      <c r="S396" s="2" t="s">
        <v>2347</v>
      </c>
      <c r="T396" s="2" t="s">
        <v>2355</v>
      </c>
      <c r="U396" s="2" t="s">
        <v>91</v>
      </c>
      <c r="V396" s="2" t="s">
        <v>2412</v>
      </c>
      <c r="W396" s="2"/>
      <c r="Y396" t="str">
        <f>PROPER(Table1[[#This Row],[Industry]])</f>
        <v>Хорека</v>
      </c>
      <c r="Z396" t="str">
        <f>PROPER(Table1[[#This Row],[Insole]])</f>
        <v>Текстил, Антибактериална Стелка, Ортопедична Стелка,Сменяема Стелка</v>
      </c>
    </row>
    <row r="397" spans="1:26" ht="12.75" customHeight="1" x14ac:dyDescent="0.2">
      <c r="A397" s="2" t="s">
        <v>881</v>
      </c>
      <c r="B397" s="2" t="s">
        <v>882</v>
      </c>
      <c r="C397" s="2" t="s">
        <v>883</v>
      </c>
      <c r="D397" s="2" t="s">
        <v>2022</v>
      </c>
      <c r="E397" s="2" t="s">
        <v>2753</v>
      </c>
      <c r="F397" s="2"/>
      <c r="G397" s="2" t="s">
        <v>588</v>
      </c>
      <c r="H397" s="2" t="s">
        <v>536</v>
      </c>
      <c r="I397" s="2" t="s">
        <v>3118</v>
      </c>
      <c r="J397" s="2" t="s">
        <v>3190</v>
      </c>
      <c r="K397" s="2" t="s">
        <v>1984</v>
      </c>
      <c r="L397" s="2" t="s">
        <v>41</v>
      </c>
      <c r="M397" s="7" t="s">
        <v>849</v>
      </c>
      <c r="N397" s="2" t="s">
        <v>3337</v>
      </c>
      <c r="O397" s="2"/>
      <c r="P397" s="2" t="s">
        <v>3173</v>
      </c>
      <c r="Q397" s="2" t="s">
        <v>3172</v>
      </c>
      <c r="R397" s="2" t="s">
        <v>3158</v>
      </c>
      <c r="S397" s="2" t="s">
        <v>2347</v>
      </c>
      <c r="T397" s="2" t="s">
        <v>2355</v>
      </c>
      <c r="U397" s="2" t="s">
        <v>91</v>
      </c>
      <c r="V397" s="2" t="s">
        <v>2435</v>
      </c>
      <c r="W397" s="2"/>
      <c r="Y397" t="str">
        <f>PROPER(Table1[[#This Row],[Industry]])</f>
        <v>Хранително-Вкусова Индустрия, Гастрономия / Кухня, Хорека, Болничен Персонал, Медицинска Индустрия, Фармацевтика</v>
      </c>
      <c r="Z397" t="str">
        <f>PROPER(Table1[[#This Row],[Insole]])</f>
        <v>Текстил, Антибактериална Стелка, Ортопедична Стелка,Сменяема Стелка</v>
      </c>
    </row>
    <row r="398" spans="1:26" ht="12.75" customHeight="1" x14ac:dyDescent="0.2">
      <c r="A398" s="2" t="s">
        <v>890</v>
      </c>
      <c r="B398" s="2" t="s">
        <v>891</v>
      </c>
      <c r="C398" s="2" t="s">
        <v>892</v>
      </c>
      <c r="D398" s="2" t="s">
        <v>2024</v>
      </c>
      <c r="E398" s="2" t="s">
        <v>2756</v>
      </c>
      <c r="F398" s="2"/>
      <c r="G398" s="2" t="s">
        <v>588</v>
      </c>
      <c r="H398" s="2" t="s">
        <v>536</v>
      </c>
      <c r="I398" s="2" t="s">
        <v>3118</v>
      </c>
      <c r="J398" s="2" t="s">
        <v>3190</v>
      </c>
      <c r="K398" s="2" t="s">
        <v>1984</v>
      </c>
      <c r="L398" s="2" t="s">
        <v>41</v>
      </c>
      <c r="M398" s="7" t="s">
        <v>849</v>
      </c>
      <c r="N398" s="2" t="s">
        <v>3337</v>
      </c>
      <c r="O398" s="2"/>
      <c r="P398" s="2" t="s">
        <v>3173</v>
      </c>
      <c r="Q398" s="2" t="s">
        <v>3172</v>
      </c>
      <c r="R398" s="2" t="s">
        <v>3158</v>
      </c>
      <c r="S398" s="2" t="s">
        <v>2347</v>
      </c>
      <c r="T398" s="2" t="s">
        <v>2355</v>
      </c>
      <c r="U398" s="2" t="s">
        <v>91</v>
      </c>
      <c r="V398" s="2" t="s">
        <v>2435</v>
      </c>
      <c r="W398" s="2"/>
      <c r="Y398" t="str">
        <f>PROPER(Table1[[#This Row],[Industry]])</f>
        <v>Хранително-Вкусова Индустрия, Гастрономия / Кухня, Хорека, Болничен Персонал, Медицинска Индустрия, Фармацевтика</v>
      </c>
      <c r="Z398" t="str">
        <f>PROPER(Table1[[#This Row],[Insole]])</f>
        <v>Текстил, Антибактериална Стелка, Ортопедична Стелка,Сменяема Стелка</v>
      </c>
    </row>
    <row r="399" spans="1:26" ht="12.75" customHeight="1" x14ac:dyDescent="0.2">
      <c r="A399" s="2" t="s">
        <v>887</v>
      </c>
      <c r="B399" s="2" t="s">
        <v>888</v>
      </c>
      <c r="C399" s="2" t="s">
        <v>889</v>
      </c>
      <c r="D399" s="2" t="s">
        <v>2023</v>
      </c>
      <c r="E399" s="2" t="s">
        <v>2755</v>
      </c>
      <c r="F399" s="2"/>
      <c r="G399" s="2" t="s">
        <v>588</v>
      </c>
      <c r="H399" s="2" t="s">
        <v>536</v>
      </c>
      <c r="I399" s="2" t="s">
        <v>3118</v>
      </c>
      <c r="J399" s="2" t="s">
        <v>3190</v>
      </c>
      <c r="K399" s="2" t="s">
        <v>1984</v>
      </c>
      <c r="L399" s="2" t="s">
        <v>41</v>
      </c>
      <c r="M399" s="7" t="s">
        <v>849</v>
      </c>
      <c r="N399" s="2" t="s">
        <v>3222</v>
      </c>
      <c r="O399" s="2"/>
      <c r="P399" s="2" t="s">
        <v>3173</v>
      </c>
      <c r="Q399" s="2" t="s">
        <v>3172</v>
      </c>
      <c r="R399" s="2" t="s">
        <v>3158</v>
      </c>
      <c r="S399" s="2" t="s">
        <v>2348</v>
      </c>
      <c r="T399" s="2" t="s">
        <v>2355</v>
      </c>
      <c r="U399" s="2" t="s">
        <v>91</v>
      </c>
      <c r="V399" s="2" t="s">
        <v>2435</v>
      </c>
      <c r="W399" s="2"/>
      <c r="Y399" t="str">
        <f>PROPER(Table1[[#This Row],[Industry]])</f>
        <v>Хранително-Вкусова Индустрия, Гастрономия / Кухня, Хорека, Болничен Персонал, Медицинска Индустрия, Фармацевтика</v>
      </c>
      <c r="Z399" t="str">
        <f>PROPER(Table1[[#This Row],[Insole]])</f>
        <v>Текстил, Антибактериална Стелка, Ортопедична Стелка,Сменяема Стелка</v>
      </c>
    </row>
    <row r="400" spans="1:26" ht="12.75" customHeight="1" x14ac:dyDescent="0.2">
      <c r="A400" s="2" t="s">
        <v>1372</v>
      </c>
      <c r="B400" s="2" t="s">
        <v>1373</v>
      </c>
      <c r="C400" s="2" t="s">
        <v>1374</v>
      </c>
      <c r="D400" s="2" t="s">
        <v>2066</v>
      </c>
      <c r="E400" s="2" t="s">
        <v>2910</v>
      </c>
      <c r="F400" s="2"/>
      <c r="G400" s="2" t="s">
        <v>588</v>
      </c>
      <c r="H400" s="2" t="s">
        <v>536</v>
      </c>
      <c r="I400" s="2" t="s">
        <v>3112</v>
      </c>
      <c r="J400" s="2" t="s">
        <v>3190</v>
      </c>
      <c r="K400" s="2" t="s">
        <v>1984</v>
      </c>
      <c r="L400" s="2" t="s">
        <v>41</v>
      </c>
      <c r="M400" s="7" t="s">
        <v>849</v>
      </c>
      <c r="N400" s="2" t="s">
        <v>3214</v>
      </c>
      <c r="O400" s="2"/>
      <c r="P400" s="2" t="s">
        <v>3173</v>
      </c>
      <c r="Q400" s="2" t="s">
        <v>3172</v>
      </c>
      <c r="R400" s="2" t="s">
        <v>3158</v>
      </c>
      <c r="S400" s="2" t="s">
        <v>2347</v>
      </c>
      <c r="T400" s="2" t="s">
        <v>2368</v>
      </c>
      <c r="U400" s="2" t="s">
        <v>91</v>
      </c>
      <c r="V400" s="2" t="s">
        <v>2446</v>
      </c>
      <c r="W400" s="2"/>
      <c r="Y400" t="str">
        <f>PROPER(Table1[[#This Row],[Industry]])</f>
        <v>Хранително-Вкусова Индустрия, Гастрономия / Кухня, Хорека</v>
      </c>
      <c r="Z400" t="str">
        <f>PROPER(Table1[[#This Row],[Insole]])</f>
        <v>Текстил, Антибактериална Стелка, Ортопедична Стелка,Сменяема Стелка</v>
      </c>
    </row>
    <row r="401" spans="1:26" ht="12.75" customHeight="1" x14ac:dyDescent="0.2">
      <c r="A401" s="2" t="s">
        <v>853</v>
      </c>
      <c r="B401" s="2" t="s">
        <v>854</v>
      </c>
      <c r="C401" s="2" t="s">
        <v>855</v>
      </c>
      <c r="D401" s="2" t="s">
        <v>1896</v>
      </c>
      <c r="E401" s="2" t="s">
        <v>2744</v>
      </c>
      <c r="F401" s="2"/>
      <c r="G401" s="2" t="s">
        <v>588</v>
      </c>
      <c r="H401" s="2" t="s">
        <v>536</v>
      </c>
      <c r="I401" s="2" t="s">
        <v>3116</v>
      </c>
      <c r="J401" s="2" t="s">
        <v>3190</v>
      </c>
      <c r="K401" s="2" t="s">
        <v>1787</v>
      </c>
      <c r="L401" s="2" t="s">
        <v>41</v>
      </c>
      <c r="M401" s="7" t="s">
        <v>849</v>
      </c>
      <c r="N401" s="2" t="s">
        <v>3214</v>
      </c>
      <c r="O401" s="2"/>
      <c r="P401" s="2" t="s">
        <v>3173</v>
      </c>
      <c r="Q401" s="2" t="s">
        <v>3172</v>
      </c>
      <c r="R401" s="2" t="s">
        <v>3158</v>
      </c>
      <c r="S401" s="2" t="s">
        <v>2347</v>
      </c>
      <c r="T401" s="2" t="s">
        <v>2368</v>
      </c>
      <c r="U401" s="2" t="s">
        <v>91</v>
      </c>
      <c r="V401" s="2" t="s">
        <v>2446</v>
      </c>
      <c r="W401" s="2"/>
      <c r="Y401" t="str">
        <f>PROPER(Table1[[#This Row],[Industry]])</f>
        <v>Хорека</v>
      </c>
      <c r="Z401" t="str">
        <f>PROPER(Table1[[#This Row],[Insole]])</f>
        <v>Текстил, Антибактериална Стелка, Ортопедична Стелка,Сменяема Стелка</v>
      </c>
    </row>
    <row r="402" spans="1:26" ht="12.75" customHeight="1" x14ac:dyDescent="0.2">
      <c r="A402" s="2" t="s">
        <v>884</v>
      </c>
      <c r="B402" s="2" t="s">
        <v>885</v>
      </c>
      <c r="C402" s="2" t="s">
        <v>886</v>
      </c>
      <c r="D402" s="2" t="s">
        <v>1899</v>
      </c>
      <c r="E402" s="2" t="s">
        <v>2754</v>
      </c>
      <c r="F402" s="2"/>
      <c r="G402" s="2" t="s">
        <v>588</v>
      </c>
      <c r="H402" s="2" t="s">
        <v>536</v>
      </c>
      <c r="I402" s="2" t="s">
        <v>3110</v>
      </c>
      <c r="J402" s="2" t="s">
        <v>3190</v>
      </c>
      <c r="K402" s="2" t="s">
        <v>1787</v>
      </c>
      <c r="L402" s="2" t="s">
        <v>41</v>
      </c>
      <c r="M402" s="7" t="s">
        <v>849</v>
      </c>
      <c r="N402" s="2" t="s">
        <v>3214</v>
      </c>
      <c r="O402" s="2"/>
      <c r="P402" s="2" t="s">
        <v>3173</v>
      </c>
      <c r="Q402" s="2" t="s">
        <v>3172</v>
      </c>
      <c r="R402" s="2" t="s">
        <v>3158</v>
      </c>
      <c r="S402" s="2" t="s">
        <v>2347</v>
      </c>
      <c r="T402" s="2" t="s">
        <v>2355</v>
      </c>
      <c r="U402" s="2" t="s">
        <v>91</v>
      </c>
      <c r="V402" s="2" t="s">
        <v>2435</v>
      </c>
      <c r="W402" s="2"/>
      <c r="Y402" t="str">
        <f>PROPER(Table1[[#This Row],[Industry]])</f>
        <v>Гастрономия / Кухня</v>
      </c>
      <c r="Z402" t="str">
        <f>PROPER(Table1[[#This Row],[Insole]])</f>
        <v>Текстил, Антибактериална Стелка, Ортопедична Стелка,Сменяема Стелка</v>
      </c>
    </row>
    <row r="403" spans="1:26" ht="12.75" customHeight="1" x14ac:dyDescent="0.2">
      <c r="A403" s="2" t="s">
        <v>1381</v>
      </c>
      <c r="B403" s="2" t="s">
        <v>1382</v>
      </c>
      <c r="C403" s="2" t="s">
        <v>1383</v>
      </c>
      <c r="D403" s="2" t="s">
        <v>2067</v>
      </c>
      <c r="E403" s="2" t="s">
        <v>2913</v>
      </c>
      <c r="F403" s="2"/>
      <c r="G403" s="2" t="s">
        <v>588</v>
      </c>
      <c r="H403" s="2" t="s">
        <v>536</v>
      </c>
      <c r="I403" s="2" t="s">
        <v>3114</v>
      </c>
      <c r="J403" s="2" t="s">
        <v>3190</v>
      </c>
      <c r="K403" s="2" t="s">
        <v>1984</v>
      </c>
      <c r="L403" s="2" t="s">
        <v>41</v>
      </c>
      <c r="M403" s="7" t="s">
        <v>849</v>
      </c>
      <c r="N403" s="2" t="s">
        <v>3259</v>
      </c>
      <c r="O403" s="2"/>
      <c r="P403" s="2" t="s">
        <v>3162</v>
      </c>
      <c r="Q403" s="2" t="s">
        <v>3172</v>
      </c>
      <c r="R403" s="2" t="s">
        <v>3158</v>
      </c>
      <c r="S403" s="2" t="s">
        <v>2349</v>
      </c>
      <c r="T403" s="2" t="s">
        <v>2355</v>
      </c>
      <c r="U403" s="2" t="s">
        <v>91</v>
      </c>
      <c r="V403" s="2" t="s">
        <v>2437</v>
      </c>
      <c r="W403" s="2"/>
      <c r="Y403" t="str">
        <f>PROPER(Table1[[#This Row],[Industry]])</f>
        <v>Болничен Персонал</v>
      </c>
      <c r="Z403" t="str">
        <f>PROPER(Table1[[#This Row],[Insole]])</f>
        <v>Текстил, Антибактериална Стелка, Ортопедична Стелка,Сменяема Стелка</v>
      </c>
    </row>
    <row r="404" spans="1:26" ht="12.75" customHeight="1" x14ac:dyDescent="0.2">
      <c r="A404" s="2" t="s">
        <v>1387</v>
      </c>
      <c r="B404" s="2" t="s">
        <v>1388</v>
      </c>
      <c r="C404" s="2" t="s">
        <v>1389</v>
      </c>
      <c r="D404" s="2" t="s">
        <v>2128</v>
      </c>
      <c r="E404" s="2" t="s">
        <v>2915</v>
      </c>
      <c r="F404" s="2"/>
      <c r="G404" s="2" t="s">
        <v>588</v>
      </c>
      <c r="H404" s="2" t="s">
        <v>536</v>
      </c>
      <c r="I404" s="2" t="s">
        <v>3114</v>
      </c>
      <c r="J404" s="2" t="s">
        <v>3190</v>
      </c>
      <c r="K404" s="2" t="s">
        <v>2104</v>
      </c>
      <c r="L404" s="2" t="s">
        <v>41</v>
      </c>
      <c r="M404" s="7" t="s">
        <v>849</v>
      </c>
      <c r="N404" s="2" t="s">
        <v>3259</v>
      </c>
      <c r="O404" s="2"/>
      <c r="P404" s="2" t="s">
        <v>3162</v>
      </c>
      <c r="Q404" s="2" t="s">
        <v>3172</v>
      </c>
      <c r="R404" s="2" t="s">
        <v>3158</v>
      </c>
      <c r="S404" s="2" t="s">
        <v>2349</v>
      </c>
      <c r="T404" s="2" t="s">
        <v>2355</v>
      </c>
      <c r="U404" s="2" t="s">
        <v>91</v>
      </c>
      <c r="V404" s="2" t="s">
        <v>2437</v>
      </c>
      <c r="W404" s="2"/>
      <c r="Y404" t="str">
        <f>PROPER(Table1[[#This Row],[Industry]])</f>
        <v>Болничен Персонал</v>
      </c>
      <c r="Z404" t="str">
        <f>PROPER(Table1[[#This Row],[Insole]])</f>
        <v>Текстил, Антибактериална Стелка, Ортопедична Стелка,Сменяема Стелка</v>
      </c>
    </row>
    <row r="405" spans="1:26" ht="12.75" customHeight="1" x14ac:dyDescent="0.2">
      <c r="A405" s="2" t="s">
        <v>1384</v>
      </c>
      <c r="B405" s="2" t="s">
        <v>1385</v>
      </c>
      <c r="C405" s="2" t="s">
        <v>1386</v>
      </c>
      <c r="D405" s="2" t="s">
        <v>2237</v>
      </c>
      <c r="E405" s="2" t="s">
        <v>2914</v>
      </c>
      <c r="F405" s="2"/>
      <c r="G405" s="2" t="s">
        <v>588</v>
      </c>
      <c r="H405" s="2" t="s">
        <v>536</v>
      </c>
      <c r="I405" s="2" t="s">
        <v>3118</v>
      </c>
      <c r="J405" s="2" t="s">
        <v>3190</v>
      </c>
      <c r="K405" s="2" t="s">
        <v>2211</v>
      </c>
      <c r="L405" s="2" t="s">
        <v>41</v>
      </c>
      <c r="M405" s="7" t="s">
        <v>849</v>
      </c>
      <c r="N405" s="2" t="s">
        <v>3259</v>
      </c>
      <c r="O405" s="2"/>
      <c r="P405" s="2" t="s">
        <v>3162</v>
      </c>
      <c r="Q405" s="2" t="s">
        <v>3172</v>
      </c>
      <c r="R405" s="2" t="s">
        <v>3158</v>
      </c>
      <c r="S405" s="2" t="s">
        <v>2348</v>
      </c>
      <c r="T405" s="2" t="s">
        <v>2355</v>
      </c>
      <c r="U405" s="2" t="s">
        <v>91</v>
      </c>
      <c r="V405" s="2" t="s">
        <v>2437</v>
      </c>
      <c r="W405" s="2"/>
      <c r="Y405" t="str">
        <f>PROPER(Table1[[#This Row],[Industry]])</f>
        <v>Хранително-Вкусова Индустрия, Гастрономия / Кухня, Хорека, Болничен Персонал, Медицинска Индустрия, Фармацевтика</v>
      </c>
      <c r="Z405" t="str">
        <f>PROPER(Table1[[#This Row],[Insole]])</f>
        <v>Текстил, Антибактериална Стелка, Ортопедична Стелка,Сменяема Стелка</v>
      </c>
    </row>
    <row r="406" spans="1:26" ht="12.75" customHeight="1" x14ac:dyDescent="0.2">
      <c r="A406" s="2" t="s">
        <v>866</v>
      </c>
      <c r="B406" s="2" t="s">
        <v>867</v>
      </c>
      <c r="C406" s="2" t="s">
        <v>868</v>
      </c>
      <c r="D406" s="2" t="s">
        <v>2021</v>
      </c>
      <c r="E406" s="2" t="s">
        <v>2748</v>
      </c>
      <c r="F406" s="2"/>
      <c r="G406" s="2" t="s">
        <v>588</v>
      </c>
      <c r="H406" s="2" t="s">
        <v>536</v>
      </c>
      <c r="I406" s="2" t="s">
        <v>3120</v>
      </c>
      <c r="J406" s="2" t="s">
        <v>3190</v>
      </c>
      <c r="K406" s="2" t="s">
        <v>1984</v>
      </c>
      <c r="L406" s="2" t="s">
        <v>41</v>
      </c>
      <c r="M406" s="7" t="s">
        <v>849</v>
      </c>
      <c r="N406" s="2" t="s">
        <v>3336</v>
      </c>
      <c r="O406" s="2"/>
      <c r="P406" s="2" t="s">
        <v>3162</v>
      </c>
      <c r="Q406" s="2" t="s">
        <v>3172</v>
      </c>
      <c r="R406" s="2" t="s">
        <v>3158</v>
      </c>
      <c r="S406" s="2" t="s">
        <v>2347</v>
      </c>
      <c r="T406" s="2" t="s">
        <v>2355</v>
      </c>
      <c r="U406" s="2" t="s">
        <v>91</v>
      </c>
      <c r="V406" s="2" t="s">
        <v>2435</v>
      </c>
      <c r="W406" s="2"/>
      <c r="Y406" t="str">
        <f>PROPER(Table1[[#This Row],[Industry]])</f>
        <v>Хорека, Болничен Персонал, Медицинска Индустрия, Фармацевтика</v>
      </c>
      <c r="Z406" t="str">
        <f>PROPER(Table1[[#This Row],[Insole]])</f>
        <v>Текстил, Антибактериална Стелка, Ортопедична Стелка,Сменяема Стелка</v>
      </c>
    </row>
    <row r="407" spans="1:26" ht="12.75" customHeight="1" x14ac:dyDescent="0.2">
      <c r="A407" s="2" t="s">
        <v>872</v>
      </c>
      <c r="B407" s="2" t="s">
        <v>873</v>
      </c>
      <c r="C407" s="2" t="s">
        <v>874</v>
      </c>
      <c r="D407" s="2" t="s">
        <v>2264</v>
      </c>
      <c r="E407" s="2" t="s">
        <v>2750</v>
      </c>
      <c r="F407" s="2"/>
      <c r="G407" s="2" t="s">
        <v>588</v>
      </c>
      <c r="H407" s="2" t="s">
        <v>536</v>
      </c>
      <c r="I407" s="2" t="s">
        <v>3120</v>
      </c>
      <c r="J407" s="2" t="s">
        <v>3190</v>
      </c>
      <c r="K407" s="2" t="s">
        <v>2262</v>
      </c>
      <c r="L407" s="2" t="s">
        <v>41</v>
      </c>
      <c r="M407" s="7" t="s">
        <v>849</v>
      </c>
      <c r="N407" s="2" t="s">
        <v>3336</v>
      </c>
      <c r="O407" s="2"/>
      <c r="P407" s="2" t="s">
        <v>3162</v>
      </c>
      <c r="Q407" s="2" t="s">
        <v>3172</v>
      </c>
      <c r="R407" s="2" t="s">
        <v>3158</v>
      </c>
      <c r="S407" s="2" t="s">
        <v>2347</v>
      </c>
      <c r="T407" s="2" t="s">
        <v>2355</v>
      </c>
      <c r="U407" s="2" t="s">
        <v>91</v>
      </c>
      <c r="V407" s="2" t="s">
        <v>2435</v>
      </c>
      <c r="W407" s="2"/>
      <c r="Y407" t="str">
        <f>PROPER(Table1[[#This Row],[Industry]])</f>
        <v>Хорека, Болничен Персонал, Медицинска Индустрия, Фармацевтика</v>
      </c>
      <c r="Z407" t="str">
        <f>PROPER(Table1[[#This Row],[Insole]])</f>
        <v>Текстил, Антибактериална Стелка, Ортопедична Стелка,Сменяема Стелка</v>
      </c>
    </row>
    <row r="408" spans="1:26" ht="12.75" customHeight="1" x14ac:dyDescent="0.2">
      <c r="A408" s="2" t="s">
        <v>875</v>
      </c>
      <c r="B408" s="2" t="s">
        <v>876</v>
      </c>
      <c r="C408" s="2" t="s">
        <v>877</v>
      </c>
      <c r="D408" s="2" t="s">
        <v>2118</v>
      </c>
      <c r="E408" s="2" t="s">
        <v>2751</v>
      </c>
      <c r="F408" s="2"/>
      <c r="G408" s="2" t="s">
        <v>588</v>
      </c>
      <c r="H408" s="2" t="s">
        <v>536</v>
      </c>
      <c r="I408" s="2" t="s">
        <v>3120</v>
      </c>
      <c r="J408" s="2" t="s">
        <v>3190</v>
      </c>
      <c r="K408" s="2" t="s">
        <v>2104</v>
      </c>
      <c r="L408" s="2" t="s">
        <v>41</v>
      </c>
      <c r="M408" s="7" t="s">
        <v>849</v>
      </c>
      <c r="N408" s="2" t="s">
        <v>3336</v>
      </c>
      <c r="O408" s="2"/>
      <c r="P408" s="2" t="s">
        <v>3162</v>
      </c>
      <c r="Q408" s="2" t="s">
        <v>3172</v>
      </c>
      <c r="R408" s="2" t="s">
        <v>3158</v>
      </c>
      <c r="S408" s="2" t="s">
        <v>2347</v>
      </c>
      <c r="T408" s="2" t="s">
        <v>2355</v>
      </c>
      <c r="U408" s="2" t="s">
        <v>91</v>
      </c>
      <c r="V408" s="2" t="s">
        <v>2435</v>
      </c>
      <c r="W408" s="2"/>
      <c r="Y408" t="str">
        <f>PROPER(Table1[[#This Row],[Industry]])</f>
        <v>Хорека, Болничен Персонал, Медицинска Индустрия, Фармацевтика</v>
      </c>
      <c r="Z408" t="str">
        <f>PROPER(Table1[[#This Row],[Insole]])</f>
        <v>Текстил, Антибактериална Стелка, Ортопедична Стелка,Сменяема Стелка</v>
      </c>
    </row>
    <row r="409" spans="1:26" ht="12.75" customHeight="1" x14ac:dyDescent="0.2">
      <c r="A409" s="2" t="s">
        <v>869</v>
      </c>
      <c r="B409" s="2" t="s">
        <v>870</v>
      </c>
      <c r="C409" s="2" t="s">
        <v>871</v>
      </c>
      <c r="D409" s="2" t="s">
        <v>2228</v>
      </c>
      <c r="E409" s="2" t="s">
        <v>2749</v>
      </c>
      <c r="F409" s="2"/>
      <c r="G409" s="2" t="s">
        <v>588</v>
      </c>
      <c r="H409" s="2" t="s">
        <v>536</v>
      </c>
      <c r="I409" s="2" t="s">
        <v>3120</v>
      </c>
      <c r="J409" s="2" t="s">
        <v>3190</v>
      </c>
      <c r="K409" s="2" t="s">
        <v>2211</v>
      </c>
      <c r="L409" s="2" t="s">
        <v>41</v>
      </c>
      <c r="M409" s="7" t="s">
        <v>849</v>
      </c>
      <c r="N409" s="2" t="s">
        <v>3336</v>
      </c>
      <c r="O409" s="2"/>
      <c r="P409" s="2" t="s">
        <v>3162</v>
      </c>
      <c r="Q409" s="2" t="s">
        <v>3172</v>
      </c>
      <c r="R409" s="2" t="s">
        <v>3158</v>
      </c>
      <c r="S409" s="2" t="s">
        <v>2347</v>
      </c>
      <c r="T409" s="2" t="s">
        <v>2355</v>
      </c>
      <c r="U409" s="2" t="s">
        <v>91</v>
      </c>
      <c r="V409" s="2" t="s">
        <v>2435</v>
      </c>
      <c r="W409" s="2"/>
      <c r="Y409" t="str">
        <f>PROPER(Table1[[#This Row],[Industry]])</f>
        <v>Хорека, Болничен Персонал, Медицинска Индустрия, Фармацевтика</v>
      </c>
      <c r="Z409" t="str">
        <f>PROPER(Table1[[#This Row],[Insole]])</f>
        <v>Текстил, Антибактериална Стелка, Ортопедична Стелка,Сменяема Стелка</v>
      </c>
    </row>
    <row r="410" spans="1:26" ht="12.75" customHeight="1" x14ac:dyDescent="0.2">
      <c r="A410" s="2" t="s">
        <v>878</v>
      </c>
      <c r="B410" s="2" t="s">
        <v>879</v>
      </c>
      <c r="C410" s="2" t="s">
        <v>880</v>
      </c>
      <c r="D410" s="2" t="s">
        <v>1898</v>
      </c>
      <c r="E410" s="2" t="s">
        <v>2752</v>
      </c>
      <c r="F410" s="2"/>
      <c r="G410" s="2" t="s">
        <v>588</v>
      </c>
      <c r="H410" s="2" t="s">
        <v>536</v>
      </c>
      <c r="I410" s="2" t="s">
        <v>3116</v>
      </c>
      <c r="J410" s="2" t="s">
        <v>3190</v>
      </c>
      <c r="K410" s="2" t="s">
        <v>1787</v>
      </c>
      <c r="L410" s="2" t="s">
        <v>41</v>
      </c>
      <c r="M410" s="7" t="s">
        <v>849</v>
      </c>
      <c r="N410" s="2" t="s">
        <v>3209</v>
      </c>
      <c r="O410" s="2"/>
      <c r="P410" s="2" t="s">
        <v>3162</v>
      </c>
      <c r="Q410" s="2" t="s">
        <v>3172</v>
      </c>
      <c r="R410" s="2" t="s">
        <v>3158</v>
      </c>
      <c r="S410" s="2" t="s">
        <v>2347</v>
      </c>
      <c r="T410" s="2" t="s">
        <v>2355</v>
      </c>
      <c r="U410" s="2" t="s">
        <v>91</v>
      </c>
      <c r="V410" s="2" t="s">
        <v>2435</v>
      </c>
      <c r="W410" s="2"/>
      <c r="Y410" t="str">
        <f>PROPER(Table1[[#This Row],[Industry]])</f>
        <v>Хорека</v>
      </c>
      <c r="Z410" t="str">
        <f>PROPER(Table1[[#This Row],[Insole]])</f>
        <v>Текстил, Антибактериална Стелка, Ортопедична Стелка,Сменяема Стелка</v>
      </c>
    </row>
    <row r="411" spans="1:26" ht="12.75" customHeight="1" x14ac:dyDescent="0.2">
      <c r="A411" s="2" t="s">
        <v>850</v>
      </c>
      <c r="B411" s="2" t="s">
        <v>851</v>
      </c>
      <c r="C411" s="2" t="s">
        <v>852</v>
      </c>
      <c r="D411" s="2" t="s">
        <v>2018</v>
      </c>
      <c r="E411" s="2" t="s">
        <v>2743</v>
      </c>
      <c r="F411" s="2"/>
      <c r="G411" s="2" t="s">
        <v>588</v>
      </c>
      <c r="H411" s="2" t="s">
        <v>536</v>
      </c>
      <c r="I411" s="2" t="s">
        <v>3114</v>
      </c>
      <c r="J411" s="2" t="s">
        <v>3190</v>
      </c>
      <c r="K411" s="2" t="s">
        <v>1984</v>
      </c>
      <c r="L411" s="2" t="s">
        <v>41</v>
      </c>
      <c r="M411" s="7" t="s">
        <v>849</v>
      </c>
      <c r="N411" s="2"/>
      <c r="O411" s="2"/>
      <c r="P411" s="2" t="s">
        <v>3162</v>
      </c>
      <c r="Q411" s="2" t="s">
        <v>3172</v>
      </c>
      <c r="R411" s="2" t="s">
        <v>3158</v>
      </c>
      <c r="S411" s="2" t="s">
        <v>2347</v>
      </c>
      <c r="T411" s="2" t="s">
        <v>2355</v>
      </c>
      <c r="U411" s="2" t="s">
        <v>91</v>
      </c>
      <c r="V411" s="2" t="s">
        <v>2447</v>
      </c>
      <c r="W411" s="2"/>
      <c r="Y411" t="str">
        <f>PROPER(Table1[[#This Row],[Industry]])</f>
        <v>Болничен Персонал</v>
      </c>
      <c r="Z411" t="str">
        <f>PROPER(Table1[[#This Row],[Insole]])</f>
        <v>Текстил, Антибактериална Стелка, Ортопедична Стелка,Сменяема Стелка</v>
      </c>
    </row>
    <row r="412" spans="1:26" ht="12.75" customHeight="1" x14ac:dyDescent="0.2">
      <c r="A412" s="2" t="s">
        <v>1369</v>
      </c>
      <c r="B412" s="2" t="s">
        <v>1370</v>
      </c>
      <c r="C412" s="2" t="s">
        <v>1371</v>
      </c>
      <c r="D412" s="2" t="s">
        <v>2065</v>
      </c>
      <c r="E412" s="2" t="s">
        <v>2909</v>
      </c>
      <c r="F412" s="2"/>
      <c r="G412" s="2" t="s">
        <v>588</v>
      </c>
      <c r="H412" s="2" t="s">
        <v>536</v>
      </c>
      <c r="I412" s="2" t="s">
        <v>3114</v>
      </c>
      <c r="J412" s="2" t="s">
        <v>3190</v>
      </c>
      <c r="K412" s="2" t="s">
        <v>1984</v>
      </c>
      <c r="L412" s="2" t="s">
        <v>41</v>
      </c>
      <c r="M412" s="7" t="s">
        <v>849</v>
      </c>
      <c r="N412" s="2"/>
      <c r="O412" s="2"/>
      <c r="P412" s="2" t="s">
        <v>3162</v>
      </c>
      <c r="Q412" s="2" t="s">
        <v>3172</v>
      </c>
      <c r="R412" s="2" t="s">
        <v>3158</v>
      </c>
      <c r="S412" s="2" t="s">
        <v>2347</v>
      </c>
      <c r="T412" s="2" t="s">
        <v>2355</v>
      </c>
      <c r="U412" s="2" t="s">
        <v>91</v>
      </c>
      <c r="V412" s="2" t="s">
        <v>2420</v>
      </c>
      <c r="W412" s="2"/>
      <c r="Y412" t="str">
        <f>PROPER(Table1[[#This Row],[Industry]])</f>
        <v>Болничен Персонал</v>
      </c>
      <c r="Z412" t="str">
        <f>PROPER(Table1[[#This Row],[Insole]])</f>
        <v>Текстил, Антибактериална Стелка, Ортопедична Стелка,Сменяема Стелка</v>
      </c>
    </row>
    <row r="413" spans="1:26" ht="12.75" customHeight="1" x14ac:dyDescent="0.2">
      <c r="A413" s="2" t="s">
        <v>846</v>
      </c>
      <c r="B413" s="2" t="s">
        <v>847</v>
      </c>
      <c r="C413" s="2" t="s">
        <v>848</v>
      </c>
      <c r="D413" s="2" t="s">
        <v>1895</v>
      </c>
      <c r="E413" s="2" t="s">
        <v>2742</v>
      </c>
      <c r="F413" s="2"/>
      <c r="G413" s="2" t="s">
        <v>588</v>
      </c>
      <c r="H413" s="2" t="s">
        <v>536</v>
      </c>
      <c r="I413" s="2" t="s">
        <v>3110</v>
      </c>
      <c r="J413" s="2" t="s">
        <v>3190</v>
      </c>
      <c r="K413" s="2" t="s">
        <v>1787</v>
      </c>
      <c r="L413" s="2" t="s">
        <v>41</v>
      </c>
      <c r="M413" s="7" t="s">
        <v>849</v>
      </c>
      <c r="N413" s="2"/>
      <c r="O413" s="2"/>
      <c r="P413" s="2" t="s">
        <v>3162</v>
      </c>
      <c r="Q413" s="2" t="s">
        <v>3172</v>
      </c>
      <c r="R413" s="2" t="s">
        <v>3158</v>
      </c>
      <c r="S413" s="2" t="s">
        <v>2347</v>
      </c>
      <c r="T413" s="2" t="s">
        <v>2355</v>
      </c>
      <c r="U413" s="2" t="s">
        <v>91</v>
      </c>
      <c r="V413" s="2" t="s">
        <v>2447</v>
      </c>
      <c r="W413" s="2"/>
      <c r="Y413" t="str">
        <f>PROPER(Table1[[#This Row],[Industry]])</f>
        <v>Гастрономия / Кухня</v>
      </c>
      <c r="Z413" t="str">
        <f>PROPER(Table1[[#This Row],[Insole]])</f>
        <v>Текстил, Антибактериална Стелка, Ортопедична Стелка,Сменяема Стелка</v>
      </c>
    </row>
    <row r="414" spans="1:26" ht="12.75" customHeight="1" x14ac:dyDescent="0.2">
      <c r="A414" s="2" t="s">
        <v>1366</v>
      </c>
      <c r="B414" s="2" t="s">
        <v>1367</v>
      </c>
      <c r="C414" s="2" t="s">
        <v>1368</v>
      </c>
      <c r="D414" s="2" t="s">
        <v>1944</v>
      </c>
      <c r="E414" s="2" t="s">
        <v>2908</v>
      </c>
      <c r="F414" s="2"/>
      <c r="G414" s="2" t="s">
        <v>588</v>
      </c>
      <c r="H414" s="2" t="s">
        <v>536</v>
      </c>
      <c r="I414" s="2" t="s">
        <v>3116</v>
      </c>
      <c r="J414" s="2" t="s">
        <v>3190</v>
      </c>
      <c r="K414" s="2" t="s">
        <v>1787</v>
      </c>
      <c r="L414" s="2" t="s">
        <v>41</v>
      </c>
      <c r="M414" s="7" t="s">
        <v>849</v>
      </c>
      <c r="N414" s="2"/>
      <c r="O414" s="2"/>
      <c r="P414" s="2" t="s">
        <v>3162</v>
      </c>
      <c r="Q414" s="2" t="s">
        <v>3172</v>
      </c>
      <c r="R414" s="2" t="s">
        <v>3158</v>
      </c>
      <c r="S414" s="2" t="s">
        <v>2347</v>
      </c>
      <c r="T414" s="2" t="s">
        <v>2355</v>
      </c>
      <c r="U414" s="2" t="s">
        <v>91</v>
      </c>
      <c r="V414" s="2" t="s">
        <v>2420</v>
      </c>
      <c r="W414" s="2"/>
      <c r="Y414" t="str">
        <f>PROPER(Table1[[#This Row],[Industry]])</f>
        <v>Хорека</v>
      </c>
      <c r="Z414" t="str">
        <f>PROPER(Table1[[#This Row],[Insole]])</f>
        <v>Текстил, Антибактериална Стелка, Ортопедична Стелка,Сменяема Стелка</v>
      </c>
    </row>
    <row r="415" spans="1:26" ht="12.75" customHeight="1" x14ac:dyDescent="0.2">
      <c r="A415" s="2" t="s">
        <v>893</v>
      </c>
      <c r="B415" s="2" t="s">
        <v>894</v>
      </c>
      <c r="C415" s="2" t="s">
        <v>895</v>
      </c>
      <c r="D415" s="2" t="s">
        <v>2025</v>
      </c>
      <c r="E415" s="2" t="s">
        <v>2757</v>
      </c>
      <c r="F415" s="2"/>
      <c r="G415" s="2" t="s">
        <v>588</v>
      </c>
      <c r="H415" s="2" t="s">
        <v>536</v>
      </c>
      <c r="I415" s="2" t="s">
        <v>3106</v>
      </c>
      <c r="J415" s="2" t="s">
        <v>3192</v>
      </c>
      <c r="K415" s="2" t="s">
        <v>1984</v>
      </c>
      <c r="L415" s="2" t="s">
        <v>41</v>
      </c>
      <c r="M415" s="7" t="s">
        <v>896</v>
      </c>
      <c r="N415" s="2" t="s">
        <v>3209</v>
      </c>
      <c r="O415" s="2"/>
      <c r="P415" s="2" t="s">
        <v>3173</v>
      </c>
      <c r="Q415" s="2" t="s">
        <v>3173</v>
      </c>
      <c r="R415" s="2" t="s">
        <v>3158</v>
      </c>
      <c r="S415" s="2" t="s">
        <v>2347</v>
      </c>
      <c r="T415" s="2" t="s">
        <v>2361</v>
      </c>
      <c r="U415" s="2" t="s">
        <v>91</v>
      </c>
      <c r="V415" s="2" t="s">
        <v>2446</v>
      </c>
      <c r="W415" s="2"/>
      <c r="Y415" t="str">
        <f>PROPER(Table1[[#This Row],[Industry]])</f>
        <v>Гастрономия / Кухня, Хорека, Болничен Персонал, Фармацевтика</v>
      </c>
      <c r="Z415" t="str">
        <f>PROPER(Table1[[#This Row],[Insole]])</f>
        <v>Текстил, Антибактериална Стелка, Ортопедична Стелка,Сменяема Стелка</v>
      </c>
    </row>
    <row r="416" spans="1:26" ht="12.75" customHeight="1" x14ac:dyDescent="0.2">
      <c r="A416" s="2" t="s">
        <v>1390</v>
      </c>
      <c r="B416" s="2" t="s">
        <v>1391</v>
      </c>
      <c r="C416" s="2" t="s">
        <v>1392</v>
      </c>
      <c r="D416" s="2" t="s">
        <v>1946</v>
      </c>
      <c r="E416" s="2" t="s">
        <v>2916</v>
      </c>
      <c r="F416" s="2"/>
      <c r="G416" s="2" t="s">
        <v>588</v>
      </c>
      <c r="H416" s="2" t="s">
        <v>536</v>
      </c>
      <c r="I416" s="2" t="s">
        <v>3106</v>
      </c>
      <c r="J416" s="2" t="s">
        <v>3192</v>
      </c>
      <c r="K416" s="2" t="s">
        <v>1787</v>
      </c>
      <c r="L416" s="2" t="s">
        <v>41</v>
      </c>
      <c r="M416" s="7" t="s">
        <v>896</v>
      </c>
      <c r="N416" s="2" t="s">
        <v>3209</v>
      </c>
      <c r="O416" s="2"/>
      <c r="P416" s="2" t="s">
        <v>3173</v>
      </c>
      <c r="Q416" s="2" t="s">
        <v>3173</v>
      </c>
      <c r="R416" s="2" t="s">
        <v>3158</v>
      </c>
      <c r="S416" s="2" t="s">
        <v>2347</v>
      </c>
      <c r="T416" s="2" t="s">
        <v>2361</v>
      </c>
      <c r="U416" s="2" t="s">
        <v>91</v>
      </c>
      <c r="V416" s="2" t="s">
        <v>2446</v>
      </c>
      <c r="W416" s="2"/>
      <c r="Y416" t="str">
        <f>PROPER(Table1[[#This Row],[Industry]])</f>
        <v>Гастрономия / Кухня, Хорека, Болничен Персонал, Фармацевтика</v>
      </c>
      <c r="Z416" t="str">
        <f>PROPER(Table1[[#This Row],[Insole]])</f>
        <v>Текстил, Антибактериална Стелка, Ортопедична Стелка,Сменяема Стелка</v>
      </c>
    </row>
    <row r="417" spans="1:26" ht="12.75" customHeight="1" x14ac:dyDescent="0.2">
      <c r="A417" s="2" t="s">
        <v>369</v>
      </c>
      <c r="B417" s="2" t="s">
        <v>370</v>
      </c>
      <c r="C417" s="2" t="s">
        <v>371</v>
      </c>
      <c r="D417" s="2" t="s">
        <v>2307</v>
      </c>
      <c r="E417" s="2" t="s">
        <v>2605</v>
      </c>
      <c r="F417" s="6" t="s">
        <v>3074</v>
      </c>
      <c r="G417" s="2" t="s">
        <v>365</v>
      </c>
      <c r="H417" s="2" t="s">
        <v>53</v>
      </c>
      <c r="I417" s="2" t="s">
        <v>3098</v>
      </c>
      <c r="J417" s="2" t="s">
        <v>1783</v>
      </c>
      <c r="K417" s="2" t="s">
        <v>2309</v>
      </c>
      <c r="L417" s="2" t="s">
        <v>41</v>
      </c>
      <c r="M417" s="7" t="s">
        <v>366</v>
      </c>
      <c r="N417" s="2" t="s">
        <v>3330</v>
      </c>
      <c r="O417" s="3" t="s">
        <v>2323</v>
      </c>
      <c r="P417" s="2" t="s">
        <v>3174</v>
      </c>
      <c r="Q417" s="2" t="s">
        <v>3169</v>
      </c>
      <c r="R417" s="2" t="s">
        <v>3155</v>
      </c>
      <c r="S417" s="2" t="s">
        <v>3093</v>
      </c>
      <c r="T417" s="2" t="s">
        <v>2355</v>
      </c>
      <c r="U417" s="2" t="s">
        <v>239</v>
      </c>
      <c r="V417" s="2"/>
      <c r="W417" s="2" t="s">
        <v>58</v>
      </c>
      <c r="Y417" t="str">
        <f>PROPER(Table1[[#This Row],[Industry]])</f>
        <v>Тактически, Трекинг</v>
      </c>
      <c r="Z417" t="str">
        <f>PROPER(Table1[[#This Row],[Insole]])</f>
        <v>Текстил,Сменяема Стелка</v>
      </c>
    </row>
    <row r="418" spans="1:26" ht="12.75" customHeight="1" x14ac:dyDescent="0.2">
      <c r="A418" s="2" t="s">
        <v>362</v>
      </c>
      <c r="B418" s="2" t="s">
        <v>363</v>
      </c>
      <c r="C418" s="2" t="s">
        <v>364</v>
      </c>
      <c r="D418" s="2" t="s">
        <v>2306</v>
      </c>
      <c r="E418" s="2" t="s">
        <v>2603</v>
      </c>
      <c r="F418" s="6" t="s">
        <v>3074</v>
      </c>
      <c r="G418" s="2" t="s">
        <v>365</v>
      </c>
      <c r="H418" s="2" t="s">
        <v>53</v>
      </c>
      <c r="I418" s="2" t="s">
        <v>3098</v>
      </c>
      <c r="J418" s="2" t="s">
        <v>1783</v>
      </c>
      <c r="K418" s="2" t="s">
        <v>2104</v>
      </c>
      <c r="L418" s="2" t="s">
        <v>41</v>
      </c>
      <c r="M418" s="7" t="s">
        <v>366</v>
      </c>
      <c r="N418" s="2" t="s">
        <v>3330</v>
      </c>
      <c r="O418" s="2"/>
      <c r="P418" s="2" t="s">
        <v>3174</v>
      </c>
      <c r="Q418" s="2" t="s">
        <v>3169</v>
      </c>
      <c r="R418" s="2" t="s">
        <v>3155</v>
      </c>
      <c r="S418" s="2" t="s">
        <v>3093</v>
      </c>
      <c r="T418" s="2" t="s">
        <v>2355</v>
      </c>
      <c r="U418" s="2" t="s">
        <v>239</v>
      </c>
      <c r="V418" s="2"/>
      <c r="W418" s="2" t="s">
        <v>58</v>
      </c>
      <c r="Y418" t="str">
        <f>PROPER(Table1[[#This Row],[Industry]])</f>
        <v>Тактически, Трекинг</v>
      </c>
      <c r="Z418" t="str">
        <f>PROPER(Table1[[#This Row],[Insole]])</f>
        <v>Текстил,Сменяема Стелка</v>
      </c>
    </row>
    <row r="419" spans="1:26" ht="12.75" customHeight="1" x14ac:dyDescent="0.2">
      <c r="A419" s="2" t="s">
        <v>257</v>
      </c>
      <c r="B419" s="2" t="s">
        <v>258</v>
      </c>
      <c r="C419" s="2" t="s">
        <v>259</v>
      </c>
      <c r="D419" s="2" t="s">
        <v>2297</v>
      </c>
      <c r="E419" s="2" t="s">
        <v>2570</v>
      </c>
      <c r="F419" s="6" t="s">
        <v>3052</v>
      </c>
      <c r="G419" s="2" t="s">
        <v>237</v>
      </c>
      <c r="H419" s="2" t="s">
        <v>53</v>
      </c>
      <c r="I419" s="2" t="s">
        <v>3146</v>
      </c>
      <c r="J419" s="2" t="s">
        <v>1783</v>
      </c>
      <c r="K419" s="2" t="s">
        <v>1787</v>
      </c>
      <c r="L419" s="2" t="s">
        <v>41</v>
      </c>
      <c r="M419" s="7" t="s">
        <v>253</v>
      </c>
      <c r="N419" s="2" t="s">
        <v>3301</v>
      </c>
      <c r="O419" s="3" t="s">
        <v>3302</v>
      </c>
      <c r="P419" s="2" t="s">
        <v>3170</v>
      </c>
      <c r="Q419" s="2" t="s">
        <v>3169</v>
      </c>
      <c r="R419" s="2" t="s">
        <v>3155</v>
      </c>
      <c r="S419" s="2" t="s">
        <v>3094</v>
      </c>
      <c r="T419" s="2" t="s">
        <v>2355</v>
      </c>
      <c r="U419" s="2" t="s">
        <v>239</v>
      </c>
      <c r="V419" s="2" t="s">
        <v>2401</v>
      </c>
      <c r="W419" s="2" t="s">
        <v>58</v>
      </c>
      <c r="Y419" t="str">
        <f>PROPER(Table1[[#This Row],[Industry]])</f>
        <v>Пожарникари И Спасители, Тактически, Трекинг</v>
      </c>
      <c r="Z419" t="str">
        <f>PROPER(Table1[[#This Row],[Insole]])</f>
        <v>Текстил,Сменяема Стелка</v>
      </c>
    </row>
    <row r="420" spans="1:26" ht="12.75" customHeight="1" x14ac:dyDescent="0.2">
      <c r="A420" s="2" t="s">
        <v>260</v>
      </c>
      <c r="B420" s="2" t="s">
        <v>261</v>
      </c>
      <c r="C420" s="2" t="s">
        <v>262</v>
      </c>
      <c r="D420" s="2" t="s">
        <v>2305</v>
      </c>
      <c r="E420" s="2" t="s">
        <v>2571</v>
      </c>
      <c r="F420" s="6" t="s">
        <v>3052</v>
      </c>
      <c r="G420" s="2" t="s">
        <v>237</v>
      </c>
      <c r="H420" s="2" t="s">
        <v>53</v>
      </c>
      <c r="I420" s="2" t="s">
        <v>3146</v>
      </c>
      <c r="J420" s="2" t="s">
        <v>1783</v>
      </c>
      <c r="K420" s="2" t="s">
        <v>1787</v>
      </c>
      <c r="L420" s="2" t="s">
        <v>41</v>
      </c>
      <c r="M420" s="7" t="s">
        <v>253</v>
      </c>
      <c r="N420" s="2" t="s">
        <v>3303</v>
      </c>
      <c r="O420" s="3" t="s">
        <v>3302</v>
      </c>
      <c r="P420" s="2" t="s">
        <v>3170</v>
      </c>
      <c r="Q420" s="2" t="s">
        <v>3169</v>
      </c>
      <c r="R420" s="2" t="s">
        <v>3155</v>
      </c>
      <c r="S420" s="2" t="s">
        <v>3094</v>
      </c>
      <c r="T420" s="2" t="s">
        <v>2355</v>
      </c>
      <c r="U420" s="2" t="s">
        <v>239</v>
      </c>
      <c r="V420" s="2" t="s">
        <v>2402</v>
      </c>
      <c r="W420" s="2" t="s">
        <v>58</v>
      </c>
      <c r="Y420" t="str">
        <f>PROPER(Table1[[#This Row],[Industry]])</f>
        <v>Пожарникари И Спасители, Тактически, Трекинг</v>
      </c>
      <c r="Z420" t="str">
        <f>PROPER(Table1[[#This Row],[Insole]])</f>
        <v>Текстил,Сменяема Стелка</v>
      </c>
    </row>
    <row r="421" spans="1:26" ht="12.75" customHeight="1" x14ac:dyDescent="0.2">
      <c r="A421" s="2" t="s">
        <v>234</v>
      </c>
      <c r="B421" s="2" t="s">
        <v>235</v>
      </c>
      <c r="C421" s="2" t="s">
        <v>236</v>
      </c>
      <c r="D421" s="2" t="s">
        <v>2303</v>
      </c>
      <c r="E421" s="2" t="s">
        <v>2564</v>
      </c>
      <c r="F421" s="6" t="s">
        <v>3052</v>
      </c>
      <c r="G421" s="2" t="s">
        <v>237</v>
      </c>
      <c r="H421" s="2" t="s">
        <v>53</v>
      </c>
      <c r="I421" s="2" t="s">
        <v>3146</v>
      </c>
      <c r="J421" s="2" t="s">
        <v>1783</v>
      </c>
      <c r="K421" s="2" t="s">
        <v>1787</v>
      </c>
      <c r="L421" s="2" t="s">
        <v>41</v>
      </c>
      <c r="M421" s="7" t="s">
        <v>238</v>
      </c>
      <c r="N421" s="2" t="s">
        <v>3304</v>
      </c>
      <c r="O421" s="3" t="s">
        <v>3302</v>
      </c>
      <c r="P421" s="2" t="s">
        <v>3170</v>
      </c>
      <c r="Q421" s="2" t="s">
        <v>3169</v>
      </c>
      <c r="R421" s="2" t="s">
        <v>3155</v>
      </c>
      <c r="S421" s="2" t="s">
        <v>3094</v>
      </c>
      <c r="T421" s="2" t="s">
        <v>2355</v>
      </c>
      <c r="U421" s="2" t="s">
        <v>239</v>
      </c>
      <c r="V421" s="2" t="s">
        <v>2386</v>
      </c>
      <c r="W421" s="2" t="s">
        <v>58</v>
      </c>
      <c r="Y421" t="str">
        <f>PROPER(Table1[[#This Row],[Industry]])</f>
        <v>Пожарникари И Спасители, Тактически, Трекинг</v>
      </c>
      <c r="Z421" t="str">
        <f>PROPER(Table1[[#This Row],[Insole]])</f>
        <v>Текстил,Сменяема Стелка</v>
      </c>
    </row>
    <row r="422" spans="1:26" ht="12.75" customHeight="1" x14ac:dyDescent="0.2">
      <c r="A422" s="2" t="s">
        <v>248</v>
      </c>
      <c r="B422" s="2" t="s">
        <v>249</v>
      </c>
      <c r="C422" s="2" t="s">
        <v>250</v>
      </c>
      <c r="D422" s="2" t="s">
        <v>2296</v>
      </c>
      <c r="E422" s="2" t="s">
        <v>2567</v>
      </c>
      <c r="F422" s="6" t="s">
        <v>3052</v>
      </c>
      <c r="G422" s="2" t="s">
        <v>237</v>
      </c>
      <c r="H422" s="2" t="s">
        <v>53</v>
      </c>
      <c r="I422" s="2" t="s">
        <v>3146</v>
      </c>
      <c r="J422" s="2" t="s">
        <v>1783</v>
      </c>
      <c r="K422" s="2" t="s">
        <v>1787</v>
      </c>
      <c r="L422" s="2" t="s">
        <v>41</v>
      </c>
      <c r="M422" s="7" t="s">
        <v>238</v>
      </c>
      <c r="N422" s="2" t="s">
        <v>3304</v>
      </c>
      <c r="O422" s="3" t="s">
        <v>3302</v>
      </c>
      <c r="P422" s="2" t="s">
        <v>3170</v>
      </c>
      <c r="Q422" s="2" t="s">
        <v>3169</v>
      </c>
      <c r="R422" s="2" t="s">
        <v>3155</v>
      </c>
      <c r="S422" s="2" t="s">
        <v>3094</v>
      </c>
      <c r="T422" s="2" t="s">
        <v>2355</v>
      </c>
      <c r="U422" s="2" t="s">
        <v>239</v>
      </c>
      <c r="V422" s="2" t="s">
        <v>2390</v>
      </c>
      <c r="W422" s="2" t="s">
        <v>58</v>
      </c>
      <c r="Y422" t="str">
        <f>PROPER(Table1[[#This Row],[Industry]])</f>
        <v>Пожарникари И Спасители, Тактически, Трекинг</v>
      </c>
      <c r="Z422" t="str">
        <f>PROPER(Table1[[#This Row],[Insole]])</f>
        <v>Текстил,Сменяема Стелка</v>
      </c>
    </row>
    <row r="423" spans="1:26" ht="12.75" customHeight="1" x14ac:dyDescent="0.2">
      <c r="A423" s="2" t="s">
        <v>254</v>
      </c>
      <c r="B423" s="2" t="s">
        <v>255</v>
      </c>
      <c r="C423" s="2" t="s">
        <v>256</v>
      </c>
      <c r="D423" s="2" t="s">
        <v>2304</v>
      </c>
      <c r="E423" s="2" t="s">
        <v>2569</v>
      </c>
      <c r="F423" s="6" t="s">
        <v>3052</v>
      </c>
      <c r="G423" s="2" t="s">
        <v>237</v>
      </c>
      <c r="H423" s="2" t="s">
        <v>53</v>
      </c>
      <c r="I423" s="2" t="s">
        <v>3098</v>
      </c>
      <c r="J423" s="2" t="s">
        <v>1783</v>
      </c>
      <c r="K423" s="2" t="s">
        <v>1787</v>
      </c>
      <c r="L423" s="2" t="s">
        <v>41</v>
      </c>
      <c r="M423" s="7" t="s">
        <v>238</v>
      </c>
      <c r="N423" s="2" t="s">
        <v>3305</v>
      </c>
      <c r="O423" s="3" t="s">
        <v>3302</v>
      </c>
      <c r="P423" s="2" t="s">
        <v>3170</v>
      </c>
      <c r="Q423" s="2" t="s">
        <v>3169</v>
      </c>
      <c r="R423" s="2" t="s">
        <v>3155</v>
      </c>
      <c r="S423" s="2" t="s">
        <v>3094</v>
      </c>
      <c r="T423" s="2" t="s">
        <v>2355</v>
      </c>
      <c r="U423" s="2" t="s">
        <v>239</v>
      </c>
      <c r="V423" s="2" t="s">
        <v>2400</v>
      </c>
      <c r="W423" s="2" t="s">
        <v>58</v>
      </c>
      <c r="Y423" t="str">
        <f>PROPER(Table1[[#This Row],[Industry]])</f>
        <v>Тактически, Трекинг</v>
      </c>
      <c r="Z423" t="str">
        <f>PROPER(Table1[[#This Row],[Insole]])</f>
        <v>Текстил,Сменяема Стелка</v>
      </c>
    </row>
    <row r="424" spans="1:26" ht="12.75" customHeight="1" x14ac:dyDescent="0.2">
      <c r="A424" s="2" t="s">
        <v>251</v>
      </c>
      <c r="B424" s="2" t="s">
        <v>252</v>
      </c>
      <c r="C424" s="4" t="s">
        <v>2515</v>
      </c>
      <c r="D424" s="2" t="s">
        <v>2277</v>
      </c>
      <c r="E424" s="2" t="s">
        <v>2568</v>
      </c>
      <c r="F424" s="6" t="s">
        <v>3061</v>
      </c>
      <c r="G424" s="2" t="s">
        <v>2278</v>
      </c>
      <c r="H424" s="2" t="s">
        <v>53</v>
      </c>
      <c r="I424" s="2" t="s">
        <v>3146</v>
      </c>
      <c r="J424" s="2" t="s">
        <v>3190</v>
      </c>
      <c r="K424" s="2" t="s">
        <v>1787</v>
      </c>
      <c r="L424" s="2" t="s">
        <v>41</v>
      </c>
      <c r="M424" s="7" t="s">
        <v>253</v>
      </c>
      <c r="N424" s="2" t="s">
        <v>3306</v>
      </c>
      <c r="O424" s="3" t="s">
        <v>3307</v>
      </c>
      <c r="P424" s="2" t="s">
        <v>3170</v>
      </c>
      <c r="Q424" s="2" t="s">
        <v>3169</v>
      </c>
      <c r="R424" s="2" t="s">
        <v>3155</v>
      </c>
      <c r="S424" s="2" t="s">
        <v>3094</v>
      </c>
      <c r="T424" s="2" t="s">
        <v>2355</v>
      </c>
      <c r="U424" s="2" t="s">
        <v>239</v>
      </c>
      <c r="V424" s="2" t="s">
        <v>2399</v>
      </c>
      <c r="W424" s="2" t="s">
        <v>58</v>
      </c>
      <c r="Y424" t="str">
        <f>PROPER(Table1[[#This Row],[Industry]])</f>
        <v>Пожарникари И Спасители, Тактически, Трекинг</v>
      </c>
      <c r="Z424" t="str">
        <f>PROPER(Table1[[#This Row],[Insole]])</f>
        <v>Текстил,Сменяема Стелка</v>
      </c>
    </row>
    <row r="425" spans="1:26" ht="12.75" customHeight="1" x14ac:dyDescent="0.2">
      <c r="A425" s="2" t="s">
        <v>523</v>
      </c>
      <c r="B425" s="2" t="s">
        <v>524</v>
      </c>
      <c r="C425" s="2" t="s">
        <v>525</v>
      </c>
      <c r="D425" s="2" t="s">
        <v>2114</v>
      </c>
      <c r="E425" s="2" t="s">
        <v>2647</v>
      </c>
      <c r="F425" s="2"/>
      <c r="G425" s="2" t="s">
        <v>475</v>
      </c>
      <c r="H425" s="2" t="s">
        <v>35</v>
      </c>
      <c r="I425" s="2" t="s">
        <v>3128</v>
      </c>
      <c r="J425" s="2" t="s">
        <v>3192</v>
      </c>
      <c r="K425" s="2" t="s">
        <v>2104</v>
      </c>
      <c r="L425" s="2" t="s">
        <v>95</v>
      </c>
      <c r="M425" s="7" t="s">
        <v>467</v>
      </c>
      <c r="N425" s="2" t="s">
        <v>3332</v>
      </c>
      <c r="O425" s="3" t="s">
        <v>2323</v>
      </c>
      <c r="P425" s="2" t="s">
        <v>3174</v>
      </c>
      <c r="Q425" s="2" t="s">
        <v>3168</v>
      </c>
      <c r="R425" s="2" t="s">
        <v>3155</v>
      </c>
      <c r="S425" s="2" t="s">
        <v>2326</v>
      </c>
      <c r="T425" s="2" t="s">
        <v>2361</v>
      </c>
      <c r="U425" s="2" t="s">
        <v>49</v>
      </c>
      <c r="V425" s="2" t="s">
        <v>2422</v>
      </c>
      <c r="W425" s="2" t="s">
        <v>49</v>
      </c>
      <c r="Y425" t="str">
        <f>PROPER(Table1[[#This Row],[Industry]])</f>
        <v>Лека Индустрия, Транспорт / Склад И Логистика</v>
      </c>
      <c r="Z425" t="str">
        <f>PROPER(Table1[[#This Row],[Insole]])</f>
        <v>Текстил,Сменяема Стелка</v>
      </c>
    </row>
    <row r="426" spans="1:26" ht="12.75" customHeight="1" x14ac:dyDescent="0.2">
      <c r="A426" s="2" t="s">
        <v>529</v>
      </c>
      <c r="B426" s="2" t="s">
        <v>530</v>
      </c>
      <c r="C426" s="2" t="s">
        <v>531</v>
      </c>
      <c r="D426" s="2" t="s">
        <v>2115</v>
      </c>
      <c r="E426" s="2" t="s">
        <v>2649</v>
      </c>
      <c r="F426" s="2"/>
      <c r="G426" s="2" t="s">
        <v>475</v>
      </c>
      <c r="H426" s="2" t="s">
        <v>35</v>
      </c>
      <c r="I426" s="2" t="s">
        <v>3128</v>
      </c>
      <c r="J426" s="2" t="s">
        <v>3192</v>
      </c>
      <c r="K426" s="2" t="s">
        <v>2104</v>
      </c>
      <c r="L426" s="2" t="s">
        <v>95</v>
      </c>
      <c r="M426" s="7" t="s">
        <v>467</v>
      </c>
      <c r="N426" s="2" t="s">
        <v>3332</v>
      </c>
      <c r="O426" s="3" t="s">
        <v>2323</v>
      </c>
      <c r="P426" s="2" t="s">
        <v>3174</v>
      </c>
      <c r="Q426" s="2" t="s">
        <v>3168</v>
      </c>
      <c r="R426" s="2" t="s">
        <v>3155</v>
      </c>
      <c r="S426" s="2" t="s">
        <v>2326</v>
      </c>
      <c r="T426" s="2" t="s">
        <v>2367</v>
      </c>
      <c r="U426" s="2" t="s">
        <v>49</v>
      </c>
      <c r="V426" s="2" t="s">
        <v>2404</v>
      </c>
      <c r="W426" s="2" t="s">
        <v>49</v>
      </c>
      <c r="Y426" t="str">
        <f>PROPER(Table1[[#This Row],[Industry]])</f>
        <v>Лека Индустрия, Транспорт / Склад И Логистика</v>
      </c>
      <c r="Z426" t="str">
        <f>PROPER(Table1[[#This Row],[Insole]])</f>
        <v>Текстил,Сменяема Стелка</v>
      </c>
    </row>
    <row r="427" spans="1:26" ht="12.75" customHeight="1" x14ac:dyDescent="0.2">
      <c r="A427" s="2" t="s">
        <v>476</v>
      </c>
      <c r="B427" s="2" t="s">
        <v>477</v>
      </c>
      <c r="C427" s="2" t="s">
        <v>478</v>
      </c>
      <c r="D427" s="2" t="s">
        <v>1851</v>
      </c>
      <c r="E427" s="2" t="s">
        <v>2633</v>
      </c>
      <c r="F427" s="2"/>
      <c r="G427" s="2" t="s">
        <v>475</v>
      </c>
      <c r="H427" s="2" t="s">
        <v>35</v>
      </c>
      <c r="I427" s="2" t="s">
        <v>3128</v>
      </c>
      <c r="J427" s="2" t="s">
        <v>3192</v>
      </c>
      <c r="K427" s="2" t="s">
        <v>1787</v>
      </c>
      <c r="L427" s="2" t="s">
        <v>95</v>
      </c>
      <c r="M427" s="7" t="s">
        <v>467</v>
      </c>
      <c r="N427" s="2" t="s">
        <v>3332</v>
      </c>
      <c r="O427" s="3" t="s">
        <v>2323</v>
      </c>
      <c r="P427" s="2" t="s">
        <v>3170</v>
      </c>
      <c r="Q427" s="2" t="s">
        <v>3168</v>
      </c>
      <c r="R427" s="2" t="s">
        <v>3155</v>
      </c>
      <c r="S427" s="2" t="s">
        <v>2326</v>
      </c>
      <c r="T427" s="2" t="s">
        <v>2367</v>
      </c>
      <c r="U427" s="2" t="s">
        <v>49</v>
      </c>
      <c r="V427" s="2" t="s">
        <v>2421</v>
      </c>
      <c r="W427" s="2" t="s">
        <v>49</v>
      </c>
      <c r="Y427" t="str">
        <f>PROPER(Table1[[#This Row],[Industry]])</f>
        <v>Лека Индустрия, Транспорт / Склад И Логистика</v>
      </c>
      <c r="Z427" t="str">
        <f>PROPER(Table1[[#This Row],[Insole]])</f>
        <v>Текстил,Сменяема Стелка</v>
      </c>
    </row>
    <row r="428" spans="1:26" ht="12.75" customHeight="1" x14ac:dyDescent="0.2">
      <c r="A428" s="2" t="s">
        <v>493</v>
      </c>
      <c r="B428" s="2" t="s">
        <v>494</v>
      </c>
      <c r="C428" s="2" t="s">
        <v>495</v>
      </c>
      <c r="D428" s="2" t="s">
        <v>1854</v>
      </c>
      <c r="E428" s="2" t="s">
        <v>2638</v>
      </c>
      <c r="F428" s="2"/>
      <c r="G428" s="2" t="s">
        <v>475</v>
      </c>
      <c r="H428" s="2" t="s">
        <v>35</v>
      </c>
      <c r="I428" s="2" t="s">
        <v>3128</v>
      </c>
      <c r="J428" s="2" t="s">
        <v>3192</v>
      </c>
      <c r="K428" s="2" t="s">
        <v>1787</v>
      </c>
      <c r="L428" s="2" t="s">
        <v>95</v>
      </c>
      <c r="M428" s="7" t="s">
        <v>467</v>
      </c>
      <c r="N428" s="2" t="s">
        <v>3332</v>
      </c>
      <c r="O428" s="3" t="s">
        <v>2323</v>
      </c>
      <c r="P428" s="2" t="s">
        <v>3170</v>
      </c>
      <c r="Q428" s="2" t="s">
        <v>3168</v>
      </c>
      <c r="R428" s="2" t="s">
        <v>3155</v>
      </c>
      <c r="S428" s="2" t="s">
        <v>2326</v>
      </c>
      <c r="T428" s="2" t="s">
        <v>2367</v>
      </c>
      <c r="U428" s="2" t="s">
        <v>49</v>
      </c>
      <c r="V428" s="2" t="s">
        <v>2405</v>
      </c>
      <c r="W428" s="2" t="s">
        <v>49</v>
      </c>
      <c r="Y428" t="str">
        <f>PROPER(Table1[[#This Row],[Industry]])</f>
        <v>Лека Индустрия, Транспорт / Склад И Логистика</v>
      </c>
      <c r="Z428" t="str">
        <f>PROPER(Table1[[#This Row],[Insole]])</f>
        <v>Текстил,Сменяема Стелка</v>
      </c>
    </row>
    <row r="429" spans="1:26" ht="12.75" customHeight="1" x14ac:dyDescent="0.2">
      <c r="A429" s="2" t="s">
        <v>472</v>
      </c>
      <c r="B429" s="2" t="s">
        <v>473</v>
      </c>
      <c r="C429" s="2" t="s">
        <v>474</v>
      </c>
      <c r="D429" s="2" t="s">
        <v>2113</v>
      </c>
      <c r="E429" s="2" t="s">
        <v>2632</v>
      </c>
      <c r="F429" s="2"/>
      <c r="G429" s="2" t="s">
        <v>475</v>
      </c>
      <c r="H429" s="2" t="s">
        <v>35</v>
      </c>
      <c r="I429" s="2" t="s">
        <v>3128</v>
      </c>
      <c r="J429" s="2" t="s">
        <v>3192</v>
      </c>
      <c r="K429" s="2" t="s">
        <v>2104</v>
      </c>
      <c r="L429" s="2" t="s">
        <v>41</v>
      </c>
      <c r="M429" s="7" t="s">
        <v>467</v>
      </c>
      <c r="N429" s="2" t="s">
        <v>3257</v>
      </c>
      <c r="O429" s="3" t="s">
        <v>2323</v>
      </c>
      <c r="P429" s="2" t="s">
        <v>3174</v>
      </c>
      <c r="Q429" s="2" t="s">
        <v>3168</v>
      </c>
      <c r="R429" s="2" t="s">
        <v>3155</v>
      </c>
      <c r="S429" s="2" t="s">
        <v>2326</v>
      </c>
      <c r="T429" s="2" t="s">
        <v>2361</v>
      </c>
      <c r="U429" s="2" t="s">
        <v>49</v>
      </c>
      <c r="V429" s="2" t="s">
        <v>2412</v>
      </c>
      <c r="W429" s="2" t="s">
        <v>49</v>
      </c>
      <c r="Y429" t="str">
        <f>PROPER(Table1[[#This Row],[Industry]])</f>
        <v>Лека Индустрия, Транспорт / Склад И Логистика</v>
      </c>
      <c r="Z429" t="str">
        <f>PROPER(Table1[[#This Row],[Insole]])</f>
        <v>Текстил,Сменяема Стелка</v>
      </c>
    </row>
    <row r="430" spans="1:26" ht="12.75" customHeight="1" x14ac:dyDescent="0.2">
      <c r="A430" s="2" t="s">
        <v>74</v>
      </c>
      <c r="B430" s="2" t="s">
        <v>75</v>
      </c>
      <c r="C430" s="2" t="s">
        <v>76</v>
      </c>
      <c r="D430" s="2" t="s">
        <v>1794</v>
      </c>
      <c r="E430" s="2" t="s">
        <v>2526</v>
      </c>
      <c r="F430" s="2"/>
      <c r="G430" s="2" t="s">
        <v>77</v>
      </c>
      <c r="H430" s="2" t="s">
        <v>53</v>
      </c>
      <c r="I430" s="2" t="s">
        <v>3142</v>
      </c>
      <c r="J430" s="2" t="s">
        <v>1783</v>
      </c>
      <c r="K430" s="2" t="s">
        <v>1787</v>
      </c>
      <c r="L430" s="2" t="s">
        <v>3193</v>
      </c>
      <c r="M430" s="7" t="s">
        <v>3193</v>
      </c>
      <c r="N430" s="2" t="s">
        <v>3198</v>
      </c>
      <c r="O430" s="2"/>
      <c r="P430" s="2" t="s">
        <v>3170</v>
      </c>
      <c r="Q430" s="2" t="s">
        <v>3174</v>
      </c>
      <c r="R430" s="2" t="s">
        <v>3162</v>
      </c>
      <c r="S430" s="2" t="s">
        <v>2329</v>
      </c>
      <c r="T430" s="2" t="s">
        <v>2355</v>
      </c>
      <c r="U430" s="2" t="s">
        <v>49</v>
      </c>
      <c r="V430" s="2" t="s">
        <v>2376</v>
      </c>
      <c r="W430" s="2"/>
      <c r="Y430" t="str">
        <f>PROPER(Table1[[#This Row],[Industry]])</f>
        <v>Тактически</v>
      </c>
      <c r="Z430" t="str">
        <f>PROPER(Table1[[#This Row],[Insole]])</f>
        <v>Текстил</v>
      </c>
    </row>
    <row r="431" spans="1:26" ht="12.75" customHeight="1" x14ac:dyDescent="0.2">
      <c r="A431" s="2" t="s">
        <v>160</v>
      </c>
      <c r="B431" s="2" t="s">
        <v>161</v>
      </c>
      <c r="C431" s="2" t="s">
        <v>162</v>
      </c>
      <c r="D431" s="2" t="s">
        <v>1804</v>
      </c>
      <c r="E431" s="2" t="s">
        <v>2547</v>
      </c>
      <c r="F431" s="6" t="s">
        <v>3045</v>
      </c>
      <c r="G431" s="2" t="s">
        <v>163</v>
      </c>
      <c r="H431" s="2" t="s">
        <v>35</v>
      </c>
      <c r="I431" s="2" t="s">
        <v>3136</v>
      </c>
      <c r="J431" s="2" t="s">
        <v>1783</v>
      </c>
      <c r="K431" s="2" t="s">
        <v>1787</v>
      </c>
      <c r="L431" s="2" t="s">
        <v>164</v>
      </c>
      <c r="M431" s="7" t="s">
        <v>165</v>
      </c>
      <c r="N431" s="2" t="s">
        <v>3201</v>
      </c>
      <c r="O431" s="2"/>
      <c r="P431" s="2" t="s">
        <v>3185</v>
      </c>
      <c r="Q431" s="2" t="s">
        <v>3162</v>
      </c>
      <c r="R431" s="2" t="s">
        <v>3162</v>
      </c>
      <c r="S431" s="2" t="s">
        <v>2325</v>
      </c>
      <c r="T431" s="2" t="s">
        <v>2362</v>
      </c>
      <c r="U431" s="2" t="s">
        <v>166</v>
      </c>
      <c r="V431" s="2" t="s">
        <v>2389</v>
      </c>
      <c r="W431" s="2"/>
      <c r="Y431" t="str">
        <f>PROPER(Table1[[#This Row],[Industry]])</f>
        <v>Тежка Индустрия</v>
      </c>
      <c r="Z431" t="str">
        <f>PROPER(Table1[[#This Row],[Insole]])</f>
        <v>Текстил</v>
      </c>
    </row>
    <row r="432" spans="1:26" ht="12.75" customHeight="1" x14ac:dyDescent="0.2">
      <c r="A432" s="2" t="s">
        <v>96</v>
      </c>
      <c r="B432" s="2" t="s">
        <v>97</v>
      </c>
      <c r="C432" s="2" t="s">
        <v>98</v>
      </c>
      <c r="D432" s="2" t="s">
        <v>2212</v>
      </c>
      <c r="E432" s="2" t="s">
        <v>2531</v>
      </c>
      <c r="F432" s="6" t="s">
        <v>3058</v>
      </c>
      <c r="G432" s="2" t="s">
        <v>99</v>
      </c>
      <c r="H432" s="2" t="s">
        <v>35</v>
      </c>
      <c r="I432" s="2" t="s">
        <v>3128</v>
      </c>
      <c r="J432" s="2" t="s">
        <v>3190</v>
      </c>
      <c r="K432" s="2" t="s">
        <v>2213</v>
      </c>
      <c r="L432" s="2" t="s">
        <v>95</v>
      </c>
      <c r="M432" s="7" t="s">
        <v>100</v>
      </c>
      <c r="N432" s="2" t="s">
        <v>3237</v>
      </c>
      <c r="O432" s="3" t="s">
        <v>2323</v>
      </c>
      <c r="P432" s="2" t="s">
        <v>3174</v>
      </c>
      <c r="Q432" s="2" t="s">
        <v>3172</v>
      </c>
      <c r="R432" s="2" t="s">
        <v>3155</v>
      </c>
      <c r="S432" s="2" t="s">
        <v>2326</v>
      </c>
      <c r="T432" s="2" t="s">
        <v>2355</v>
      </c>
      <c r="U432" s="2" t="s">
        <v>101</v>
      </c>
      <c r="V432" s="2" t="s">
        <v>2381</v>
      </c>
      <c r="W432" s="2" t="s">
        <v>101</v>
      </c>
      <c r="Y432" t="str">
        <f>PROPER(Table1[[#This Row],[Industry]])</f>
        <v>Лека Индустрия, Транспорт / Склад И Логистика</v>
      </c>
      <c r="Z432" t="str">
        <f>PROPER(Table1[[#This Row],[Insole]])</f>
        <v>Текстил,Сменяема Стелка</v>
      </c>
    </row>
    <row r="433" spans="1:26" ht="12.75" customHeight="1" x14ac:dyDescent="0.2">
      <c r="A433" s="2" t="s">
        <v>110</v>
      </c>
      <c r="B433" s="2" t="s">
        <v>111</v>
      </c>
      <c r="C433" s="2" t="s">
        <v>112</v>
      </c>
      <c r="D433" s="2" t="s">
        <v>2103</v>
      </c>
      <c r="E433" s="2" t="s">
        <v>2534</v>
      </c>
      <c r="F433" s="2"/>
      <c r="G433" s="2" t="s">
        <v>99</v>
      </c>
      <c r="H433" s="2" t="s">
        <v>35</v>
      </c>
      <c r="I433" s="2" t="s">
        <v>3128</v>
      </c>
      <c r="J433" s="2" t="s">
        <v>3190</v>
      </c>
      <c r="K433" s="2" t="s">
        <v>2104</v>
      </c>
      <c r="L433" s="2" t="s">
        <v>95</v>
      </c>
      <c r="M433" s="7" t="s">
        <v>100</v>
      </c>
      <c r="N433" s="2" t="s">
        <v>3238</v>
      </c>
      <c r="O433" s="3" t="s">
        <v>2323</v>
      </c>
      <c r="P433" s="2" t="s">
        <v>3174</v>
      </c>
      <c r="Q433" s="2" t="s">
        <v>3172</v>
      </c>
      <c r="R433" s="2" t="s">
        <v>3155</v>
      </c>
      <c r="S433" s="2" t="s">
        <v>2326</v>
      </c>
      <c r="T433" s="2" t="s">
        <v>2355</v>
      </c>
      <c r="U433" s="2" t="s">
        <v>101</v>
      </c>
      <c r="V433" s="2" t="s">
        <v>2383</v>
      </c>
      <c r="W433" s="2" t="s">
        <v>101</v>
      </c>
      <c r="Y433" t="str">
        <f>PROPER(Table1[[#This Row],[Industry]])</f>
        <v>Лека Индустрия, Транспорт / Склад И Логистика</v>
      </c>
      <c r="Z433" t="str">
        <f>PROPER(Table1[[#This Row],[Insole]])</f>
        <v>Текстил,Сменяема Стелка</v>
      </c>
    </row>
    <row r="434" spans="1:26" ht="12.75" customHeight="1" x14ac:dyDescent="0.2">
      <c r="A434" s="2" t="s">
        <v>282</v>
      </c>
      <c r="B434" s="2" t="s">
        <v>283</v>
      </c>
      <c r="C434" s="2" t="s">
        <v>284</v>
      </c>
      <c r="D434" s="2" t="s">
        <v>2214</v>
      </c>
      <c r="E434" s="2" t="s">
        <v>2578</v>
      </c>
      <c r="F434" s="2"/>
      <c r="G434" s="2" t="s">
        <v>99</v>
      </c>
      <c r="H434" s="2" t="s">
        <v>35</v>
      </c>
      <c r="I434" s="2" t="s">
        <v>3128</v>
      </c>
      <c r="J434" s="2" t="s">
        <v>3190</v>
      </c>
      <c r="K434" s="2" t="s">
        <v>2213</v>
      </c>
      <c r="L434" s="2" t="s">
        <v>95</v>
      </c>
      <c r="M434" s="7" t="s">
        <v>100</v>
      </c>
      <c r="N434" s="2" t="s">
        <v>3238</v>
      </c>
      <c r="O434" s="3" t="s">
        <v>2323</v>
      </c>
      <c r="P434" s="2" t="s">
        <v>3174</v>
      </c>
      <c r="Q434" s="2" t="s">
        <v>3172</v>
      </c>
      <c r="R434" s="2" t="s">
        <v>3155</v>
      </c>
      <c r="S434" s="2" t="s">
        <v>2326</v>
      </c>
      <c r="T434" s="2" t="s">
        <v>2355</v>
      </c>
      <c r="U434" s="2" t="s">
        <v>101</v>
      </c>
      <c r="V434" s="2" t="s">
        <v>2383</v>
      </c>
      <c r="W434" s="2" t="s">
        <v>101</v>
      </c>
      <c r="Y434" t="str">
        <f>PROPER(Table1[[#This Row],[Industry]])</f>
        <v>Лека Индустрия, Транспорт / Склад И Логистика</v>
      </c>
      <c r="Z434" t="str">
        <f>PROPER(Table1[[#This Row],[Insole]])</f>
        <v>Текстил,Сменяема Стелка</v>
      </c>
    </row>
    <row r="435" spans="1:26" ht="12.75" customHeight="1" x14ac:dyDescent="0.2">
      <c r="A435" s="2" t="s">
        <v>279</v>
      </c>
      <c r="B435" s="2" t="s">
        <v>280</v>
      </c>
      <c r="C435" s="2" t="s">
        <v>281</v>
      </c>
      <c r="D435" s="2" t="s">
        <v>2281</v>
      </c>
      <c r="E435" s="2" t="s">
        <v>2577</v>
      </c>
      <c r="F435" s="2"/>
      <c r="G435" s="2" t="s">
        <v>99</v>
      </c>
      <c r="H435" s="2" t="s">
        <v>35</v>
      </c>
      <c r="I435" s="2" t="s">
        <v>3125</v>
      </c>
      <c r="J435" s="2" t="s">
        <v>3190</v>
      </c>
      <c r="K435" s="2" t="s">
        <v>1787</v>
      </c>
      <c r="L435" s="2" t="s">
        <v>95</v>
      </c>
      <c r="M435" s="7" t="s">
        <v>105</v>
      </c>
      <c r="N435" s="2" t="s">
        <v>3244</v>
      </c>
      <c r="O435" s="2"/>
      <c r="P435" s="2" t="s">
        <v>3170</v>
      </c>
      <c r="Q435" s="2" t="s">
        <v>3172</v>
      </c>
      <c r="R435" s="2" t="s">
        <v>3155</v>
      </c>
      <c r="S435" s="2" t="s">
        <v>2326</v>
      </c>
      <c r="T435" s="2" t="s">
        <v>2355</v>
      </c>
      <c r="U435" s="2" t="s">
        <v>101</v>
      </c>
      <c r="V435" s="2" t="s">
        <v>2383</v>
      </c>
      <c r="W435" s="2" t="s">
        <v>101</v>
      </c>
      <c r="Y435" t="str">
        <f>PROPER(Table1[[#This Row],[Industry]])</f>
        <v>Електронна Индустрия, Лека Индустрия, Транспорт / Склад И Логистика</v>
      </c>
      <c r="Z435" t="str">
        <f>PROPER(Table1[[#This Row],[Insole]])</f>
        <v>Текстил,Сменяема Стелка</v>
      </c>
    </row>
    <row r="436" spans="1:26" ht="12.75" customHeight="1" x14ac:dyDescent="0.2">
      <c r="A436" s="2" t="s">
        <v>102</v>
      </c>
      <c r="B436" s="2" t="s">
        <v>103</v>
      </c>
      <c r="C436" s="2" t="s">
        <v>104</v>
      </c>
      <c r="D436" s="2" t="s">
        <v>1797</v>
      </c>
      <c r="E436" s="2" t="s">
        <v>2532</v>
      </c>
      <c r="F436" s="2"/>
      <c r="G436" s="2" t="s">
        <v>99</v>
      </c>
      <c r="H436" s="2" t="s">
        <v>35</v>
      </c>
      <c r="I436" s="2" t="s">
        <v>3125</v>
      </c>
      <c r="J436" s="2" t="s">
        <v>1783</v>
      </c>
      <c r="K436" s="2" t="s">
        <v>1787</v>
      </c>
      <c r="L436" s="2" t="s">
        <v>95</v>
      </c>
      <c r="M436" s="7" t="s">
        <v>105</v>
      </c>
      <c r="N436" s="2" t="s">
        <v>3244</v>
      </c>
      <c r="O436" s="2"/>
      <c r="P436" s="2" t="s">
        <v>3170</v>
      </c>
      <c r="Q436" s="2" t="s">
        <v>3172</v>
      </c>
      <c r="R436" s="2" t="s">
        <v>3155</v>
      </c>
      <c r="S436" s="2" t="s">
        <v>2326</v>
      </c>
      <c r="T436" s="2" t="s">
        <v>2355</v>
      </c>
      <c r="U436" s="2" t="s">
        <v>101</v>
      </c>
      <c r="V436" s="2" t="s">
        <v>2382</v>
      </c>
      <c r="W436" s="2" t="s">
        <v>101</v>
      </c>
      <c r="Y436" t="str">
        <f>PROPER(Table1[[#This Row],[Industry]])</f>
        <v>Електронна Индустрия, Лека Индустрия, Транспорт / Склад И Логистика</v>
      </c>
      <c r="Z436" t="str">
        <f>PROPER(Table1[[#This Row],[Insole]])</f>
        <v>Текстил,Сменяема Стелка</v>
      </c>
    </row>
    <row r="437" spans="1:26" ht="12.75" customHeight="1" x14ac:dyDescent="0.2">
      <c r="A437" s="2" t="s">
        <v>339</v>
      </c>
      <c r="B437" s="2" t="s">
        <v>340</v>
      </c>
      <c r="C437" s="2" t="s">
        <v>341</v>
      </c>
      <c r="D437" s="2" t="s">
        <v>2106</v>
      </c>
      <c r="E437" s="2" t="s">
        <v>2595</v>
      </c>
      <c r="F437" s="2"/>
      <c r="G437" s="2" t="s">
        <v>99</v>
      </c>
      <c r="H437" s="2" t="s">
        <v>35</v>
      </c>
      <c r="I437" s="2" t="s">
        <v>3128</v>
      </c>
      <c r="J437" s="2" t="s">
        <v>3192</v>
      </c>
      <c r="K437" s="2" t="s">
        <v>2104</v>
      </c>
      <c r="L437" s="2" t="s">
        <v>95</v>
      </c>
      <c r="M437" s="7" t="s">
        <v>109</v>
      </c>
      <c r="N437" s="2" t="s">
        <v>3263</v>
      </c>
      <c r="O437" s="3" t="s">
        <v>2323</v>
      </c>
      <c r="P437" s="2" t="s">
        <v>3174</v>
      </c>
      <c r="Q437" s="2" t="s">
        <v>3172</v>
      </c>
      <c r="R437" s="2" t="s">
        <v>3155</v>
      </c>
      <c r="S437" s="2" t="s">
        <v>2326</v>
      </c>
      <c r="T437" s="2" t="s">
        <v>2361</v>
      </c>
      <c r="U437" s="2" t="s">
        <v>101</v>
      </c>
      <c r="V437" s="2" t="s">
        <v>2370</v>
      </c>
      <c r="W437" s="2" t="s">
        <v>101</v>
      </c>
      <c r="Y437" t="str">
        <f>PROPER(Table1[[#This Row],[Industry]])</f>
        <v>Лека Индустрия, Транспорт / Склад И Логистика</v>
      </c>
      <c r="Z437" t="str">
        <f>PROPER(Table1[[#This Row],[Insole]])</f>
        <v>Текстил,Сменяема Стелка</v>
      </c>
    </row>
    <row r="438" spans="1:26" ht="12.75" customHeight="1" x14ac:dyDescent="0.2">
      <c r="A438" s="2" t="s">
        <v>106</v>
      </c>
      <c r="B438" s="2" t="s">
        <v>107</v>
      </c>
      <c r="C438" s="2" t="s">
        <v>108</v>
      </c>
      <c r="D438" s="2" t="s">
        <v>1798</v>
      </c>
      <c r="E438" s="2" t="s">
        <v>2533</v>
      </c>
      <c r="F438" s="2"/>
      <c r="G438" s="2" t="s">
        <v>99</v>
      </c>
      <c r="H438" s="2" t="s">
        <v>35</v>
      </c>
      <c r="I438" s="2" t="s">
        <v>3128</v>
      </c>
      <c r="J438" s="2" t="s">
        <v>3192</v>
      </c>
      <c r="K438" s="2" t="s">
        <v>1787</v>
      </c>
      <c r="L438" s="2" t="s">
        <v>95</v>
      </c>
      <c r="M438" s="7" t="s">
        <v>109</v>
      </c>
      <c r="N438" s="2" t="s">
        <v>3263</v>
      </c>
      <c r="O438" s="3" t="s">
        <v>2323</v>
      </c>
      <c r="P438" s="2" t="s">
        <v>3174</v>
      </c>
      <c r="Q438" s="2" t="s">
        <v>3172</v>
      </c>
      <c r="R438" s="2" t="s">
        <v>3155</v>
      </c>
      <c r="S438" s="2" t="s">
        <v>2326</v>
      </c>
      <c r="T438" s="2" t="s">
        <v>2361</v>
      </c>
      <c r="U438" s="2" t="s">
        <v>101</v>
      </c>
      <c r="V438" s="2" t="s">
        <v>2370</v>
      </c>
      <c r="W438" s="2" t="s">
        <v>101</v>
      </c>
      <c r="Y438" t="str">
        <f>PROPER(Table1[[#This Row],[Industry]])</f>
        <v>Лека Индустрия, Транспорт / Склад И Логистика</v>
      </c>
      <c r="Z438" t="str">
        <f>PROPER(Table1[[#This Row],[Insole]])</f>
        <v>Текстил,Сменяема Стелка</v>
      </c>
    </row>
    <row r="439" spans="1:26" ht="12.75" customHeight="1" x14ac:dyDescent="0.2">
      <c r="A439" s="2" t="s">
        <v>1575</v>
      </c>
      <c r="B439" s="2" t="s">
        <v>1576</v>
      </c>
      <c r="C439" s="2" t="s">
        <v>1577</v>
      </c>
      <c r="D439" s="2" t="s">
        <v>2080</v>
      </c>
      <c r="E439" s="2" t="s">
        <v>2975</v>
      </c>
      <c r="F439" s="2"/>
      <c r="G439" s="2" t="s">
        <v>1555</v>
      </c>
      <c r="H439" s="2" t="s">
        <v>536</v>
      </c>
      <c r="I439" s="2" t="s">
        <v>3118</v>
      </c>
      <c r="J439" s="2" t="s">
        <v>3190</v>
      </c>
      <c r="K439" s="2" t="s">
        <v>1984</v>
      </c>
      <c r="L439" s="2" t="s">
        <v>95</v>
      </c>
      <c r="M439" s="7" t="s">
        <v>1556</v>
      </c>
      <c r="N439" s="2" t="s">
        <v>3196</v>
      </c>
      <c r="O439" s="2"/>
      <c r="P439" s="2" t="s">
        <v>3170</v>
      </c>
      <c r="Q439" s="2" t="s">
        <v>3172</v>
      </c>
      <c r="R439" s="2" t="s">
        <v>3158</v>
      </c>
      <c r="S439" s="2" t="s">
        <v>2350</v>
      </c>
      <c r="T439" s="2" t="s">
        <v>2368</v>
      </c>
      <c r="U439" s="2" t="s">
        <v>91</v>
      </c>
      <c r="V439" s="2" t="s">
        <v>2403</v>
      </c>
      <c r="W439" s="2"/>
      <c r="Y439" t="str">
        <f>PROPER(Table1[[#This Row],[Industry]])</f>
        <v>Хранително-Вкусова Индустрия, Гастрономия / Кухня, Хорека, Болничен Персонал, Медицинска Индустрия, Фармацевтика</v>
      </c>
      <c r="Z439" t="str">
        <f>PROPER(Table1[[#This Row],[Insole]])</f>
        <v>Текстил, Антибактериална Стелка, Ортопедична Стелка,Сменяема Стелка</v>
      </c>
    </row>
    <row r="440" spans="1:26" ht="12.75" customHeight="1" x14ac:dyDescent="0.2">
      <c r="A440" s="2" t="s">
        <v>1578</v>
      </c>
      <c r="B440" s="2" t="s">
        <v>1579</v>
      </c>
      <c r="C440" s="2" t="s">
        <v>1580</v>
      </c>
      <c r="D440" s="2" t="s">
        <v>2081</v>
      </c>
      <c r="E440" s="2" t="s">
        <v>2976</v>
      </c>
      <c r="F440" s="2"/>
      <c r="G440" s="2" t="s">
        <v>1555</v>
      </c>
      <c r="H440" s="2" t="s">
        <v>536</v>
      </c>
      <c r="I440" s="2" t="s">
        <v>3109</v>
      </c>
      <c r="J440" s="2" t="s">
        <v>3190</v>
      </c>
      <c r="K440" s="2" t="s">
        <v>1984</v>
      </c>
      <c r="L440" s="2" t="s">
        <v>95</v>
      </c>
      <c r="M440" s="7" t="s">
        <v>1556</v>
      </c>
      <c r="N440" s="2" t="s">
        <v>3196</v>
      </c>
      <c r="O440" s="2"/>
      <c r="P440" s="2" t="s">
        <v>3170</v>
      </c>
      <c r="Q440" s="2" t="s">
        <v>3172</v>
      </c>
      <c r="R440" s="2" t="s">
        <v>3158</v>
      </c>
      <c r="S440" s="2" t="s">
        <v>2346</v>
      </c>
      <c r="T440" s="2" t="s">
        <v>2355</v>
      </c>
      <c r="U440" s="2" t="s">
        <v>91</v>
      </c>
      <c r="V440" s="2" t="s">
        <v>2380</v>
      </c>
      <c r="W440" s="2"/>
      <c r="Y440" t="str">
        <f>PROPER(Table1[[#This Row],[Industry]])</f>
        <v>Хранително-Вкусова Индустрия</v>
      </c>
      <c r="Z440" t="str">
        <f>PROPER(Table1[[#This Row],[Insole]])</f>
        <v>Текстил, Антибактериална Стелка, Ортопедична Стелка,Сменяема Стелка</v>
      </c>
    </row>
    <row r="441" spans="1:26" ht="12.75" customHeight="1" x14ac:dyDescent="0.2">
      <c r="A441" s="2" t="s">
        <v>1703</v>
      </c>
      <c r="B441" s="2" t="s">
        <v>1704</v>
      </c>
      <c r="C441" s="2" t="s">
        <v>1705</v>
      </c>
      <c r="D441" s="2" t="s">
        <v>2094</v>
      </c>
      <c r="E441" s="2" t="s">
        <v>3017</v>
      </c>
      <c r="F441" s="2"/>
      <c r="G441" s="2" t="s">
        <v>1555</v>
      </c>
      <c r="H441" s="2" t="s">
        <v>536</v>
      </c>
      <c r="I441" s="2" t="s">
        <v>3109</v>
      </c>
      <c r="J441" s="2" t="s">
        <v>3190</v>
      </c>
      <c r="K441" s="2" t="s">
        <v>1984</v>
      </c>
      <c r="L441" s="2" t="s">
        <v>95</v>
      </c>
      <c r="M441" s="7" t="s">
        <v>1556</v>
      </c>
      <c r="N441" s="2" t="s">
        <v>3196</v>
      </c>
      <c r="O441" s="2"/>
      <c r="P441" s="2" t="s">
        <v>3170</v>
      </c>
      <c r="Q441" s="2" t="s">
        <v>3172</v>
      </c>
      <c r="R441" s="2" t="s">
        <v>3158</v>
      </c>
      <c r="S441" s="2" t="s">
        <v>2346</v>
      </c>
      <c r="T441" s="2" t="s">
        <v>2368</v>
      </c>
      <c r="U441" s="2" t="s">
        <v>91</v>
      </c>
      <c r="V441" s="2" t="s">
        <v>2403</v>
      </c>
      <c r="W441" s="2"/>
      <c r="Y441" t="str">
        <f>PROPER(Table1[[#This Row],[Industry]])</f>
        <v>Хранително-Вкусова Индустрия</v>
      </c>
      <c r="Z441" t="str">
        <f>PROPER(Table1[[#This Row],[Insole]])</f>
        <v>Текстил, Антибактериална Стелка, Ортопедична Стелка,Сменяема Стелка</v>
      </c>
    </row>
    <row r="442" spans="1:26" ht="12.75" customHeight="1" x14ac:dyDescent="0.2">
      <c r="A442" s="2" t="s">
        <v>1706</v>
      </c>
      <c r="B442" s="2" t="s">
        <v>1707</v>
      </c>
      <c r="C442" s="2" t="s">
        <v>1708</v>
      </c>
      <c r="D442" s="2" t="s">
        <v>2095</v>
      </c>
      <c r="E442" s="2" t="s">
        <v>3018</v>
      </c>
      <c r="F442" s="2"/>
      <c r="G442" s="2" t="s">
        <v>1555</v>
      </c>
      <c r="H442" s="2" t="s">
        <v>536</v>
      </c>
      <c r="I442" s="2" t="s">
        <v>3109</v>
      </c>
      <c r="J442" s="2" t="s">
        <v>3190</v>
      </c>
      <c r="K442" s="2" t="s">
        <v>1984</v>
      </c>
      <c r="L442" s="2" t="s">
        <v>95</v>
      </c>
      <c r="M442" s="7" t="s">
        <v>1556</v>
      </c>
      <c r="N442" s="2" t="s">
        <v>3196</v>
      </c>
      <c r="O442" s="2"/>
      <c r="P442" s="2" t="s">
        <v>3170</v>
      </c>
      <c r="Q442" s="2" t="s">
        <v>3172</v>
      </c>
      <c r="R442" s="2" t="s">
        <v>3158</v>
      </c>
      <c r="S442" s="2" t="s">
        <v>2346</v>
      </c>
      <c r="T442" s="2" t="s">
        <v>2355</v>
      </c>
      <c r="U442" s="2" t="s">
        <v>91</v>
      </c>
      <c r="V442" s="2" t="s">
        <v>2380</v>
      </c>
      <c r="W442" s="2"/>
      <c r="Y442" t="str">
        <f>PROPER(Table1[[#This Row],[Industry]])</f>
        <v>Хранително-Вкусова Индустрия</v>
      </c>
      <c r="Z442" t="str">
        <f>PROPER(Table1[[#This Row],[Insole]])</f>
        <v>Текстил, Антибактериална Стелка, Ортопедична Стелка,Сменяема Стелка</v>
      </c>
    </row>
    <row r="443" spans="1:26" ht="12.75" customHeight="1" x14ac:dyDescent="0.2">
      <c r="A443" s="2" t="s">
        <v>1587</v>
      </c>
      <c r="B443" s="2" t="s">
        <v>1588</v>
      </c>
      <c r="C443" s="2" t="s">
        <v>1589</v>
      </c>
      <c r="D443" s="2" t="s">
        <v>1959</v>
      </c>
      <c r="E443" s="2" t="s">
        <v>2979</v>
      </c>
      <c r="F443" s="2"/>
      <c r="G443" s="2" t="s">
        <v>1555</v>
      </c>
      <c r="H443" s="2" t="s">
        <v>536</v>
      </c>
      <c r="I443" s="2" t="s">
        <v>3116</v>
      </c>
      <c r="J443" s="2" t="s">
        <v>3190</v>
      </c>
      <c r="K443" s="2" t="s">
        <v>1787</v>
      </c>
      <c r="L443" s="2" t="s">
        <v>95</v>
      </c>
      <c r="M443" s="7" t="s">
        <v>1556</v>
      </c>
      <c r="N443" s="2" t="s">
        <v>3196</v>
      </c>
      <c r="O443" s="2"/>
      <c r="P443" s="2" t="s">
        <v>3170</v>
      </c>
      <c r="Q443" s="2" t="s">
        <v>3172</v>
      </c>
      <c r="R443" s="2" t="s">
        <v>3158</v>
      </c>
      <c r="S443" s="2" t="s">
        <v>2346</v>
      </c>
      <c r="T443" s="2" t="s">
        <v>2368</v>
      </c>
      <c r="U443" s="2" t="s">
        <v>91</v>
      </c>
      <c r="V443" s="2" t="s">
        <v>2403</v>
      </c>
      <c r="W443" s="2"/>
      <c r="Y443" t="str">
        <f>PROPER(Table1[[#This Row],[Industry]])</f>
        <v>Хорека</v>
      </c>
      <c r="Z443" t="str">
        <f>PROPER(Table1[[#This Row],[Insole]])</f>
        <v>Текстил, Антибактериална Стелка, Ортопедична Стелка,Сменяема Стелка</v>
      </c>
    </row>
    <row r="444" spans="1:26" ht="12.75" customHeight="1" x14ac:dyDescent="0.2">
      <c r="A444" s="2" t="s">
        <v>1590</v>
      </c>
      <c r="B444" s="2" t="s">
        <v>1591</v>
      </c>
      <c r="C444" s="2" t="s">
        <v>1592</v>
      </c>
      <c r="D444" s="2" t="s">
        <v>1960</v>
      </c>
      <c r="E444" s="2" t="s">
        <v>2980</v>
      </c>
      <c r="F444" s="2"/>
      <c r="G444" s="2" t="s">
        <v>1555</v>
      </c>
      <c r="H444" s="2" t="s">
        <v>536</v>
      </c>
      <c r="I444" s="2" t="s">
        <v>3109</v>
      </c>
      <c r="J444" s="2" t="s">
        <v>3190</v>
      </c>
      <c r="K444" s="2" t="s">
        <v>1787</v>
      </c>
      <c r="L444" s="2" t="s">
        <v>95</v>
      </c>
      <c r="M444" s="7" t="s">
        <v>1556</v>
      </c>
      <c r="N444" s="2" t="s">
        <v>3196</v>
      </c>
      <c r="O444" s="2"/>
      <c r="P444" s="2" t="s">
        <v>3170</v>
      </c>
      <c r="Q444" s="2" t="s">
        <v>3172</v>
      </c>
      <c r="R444" s="2" t="s">
        <v>3158</v>
      </c>
      <c r="S444" s="2" t="s">
        <v>2346</v>
      </c>
      <c r="T444" s="2" t="s">
        <v>2355</v>
      </c>
      <c r="U444" s="2" t="s">
        <v>91</v>
      </c>
      <c r="V444" s="2" t="s">
        <v>2380</v>
      </c>
      <c r="W444" s="2"/>
      <c r="Y444" t="str">
        <f>PROPER(Table1[[#This Row],[Industry]])</f>
        <v>Хранително-Вкусова Индустрия</v>
      </c>
      <c r="Z444" t="str">
        <f>PROPER(Table1[[#This Row],[Insole]])</f>
        <v>Текстил, Антибактериална Стелка, Ортопедична Стелка,Сменяема Стелка</v>
      </c>
    </row>
    <row r="445" spans="1:26" ht="12.75" customHeight="1" x14ac:dyDescent="0.2">
      <c r="A445" s="2" t="s">
        <v>1715</v>
      </c>
      <c r="B445" s="2" t="s">
        <v>1716</v>
      </c>
      <c r="C445" s="2" t="s">
        <v>1717</v>
      </c>
      <c r="D445" s="2" t="s">
        <v>1976</v>
      </c>
      <c r="E445" s="2" t="s">
        <v>3021</v>
      </c>
      <c r="F445" s="2"/>
      <c r="G445" s="2" t="s">
        <v>1555</v>
      </c>
      <c r="H445" s="2" t="s">
        <v>536</v>
      </c>
      <c r="I445" s="2" t="s">
        <v>3116</v>
      </c>
      <c r="J445" s="2" t="s">
        <v>3190</v>
      </c>
      <c r="K445" s="2" t="s">
        <v>1787</v>
      </c>
      <c r="L445" s="2" t="s">
        <v>95</v>
      </c>
      <c r="M445" s="7" t="s">
        <v>1556</v>
      </c>
      <c r="N445" s="2" t="s">
        <v>3196</v>
      </c>
      <c r="O445" s="2"/>
      <c r="P445" s="2" t="s">
        <v>3170</v>
      </c>
      <c r="Q445" s="2" t="s">
        <v>3172</v>
      </c>
      <c r="R445" s="2" t="s">
        <v>3158</v>
      </c>
      <c r="S445" s="2" t="s">
        <v>2346</v>
      </c>
      <c r="T445" s="2" t="s">
        <v>2368</v>
      </c>
      <c r="U445" s="2" t="s">
        <v>91</v>
      </c>
      <c r="V445" s="2" t="s">
        <v>2431</v>
      </c>
      <c r="W445" s="2"/>
      <c r="Y445" t="str">
        <f>PROPER(Table1[[#This Row],[Industry]])</f>
        <v>Хорека</v>
      </c>
      <c r="Z445" t="str">
        <f>PROPER(Table1[[#This Row],[Insole]])</f>
        <v>Текстил, Антибактериална Стелка, Ортопедична Стелка,Сменяема Стелка</v>
      </c>
    </row>
    <row r="446" spans="1:26" ht="12.75" customHeight="1" x14ac:dyDescent="0.2">
      <c r="A446" s="2" t="s">
        <v>1718</v>
      </c>
      <c r="B446" s="2" t="s">
        <v>1719</v>
      </c>
      <c r="C446" s="2" t="s">
        <v>1720</v>
      </c>
      <c r="D446" s="2" t="s">
        <v>1977</v>
      </c>
      <c r="E446" s="2" t="s">
        <v>3022</v>
      </c>
      <c r="F446" s="2"/>
      <c r="G446" s="2" t="s">
        <v>1555</v>
      </c>
      <c r="H446" s="2" t="s">
        <v>536</v>
      </c>
      <c r="I446" s="2" t="s">
        <v>3108</v>
      </c>
      <c r="J446" s="2" t="s">
        <v>3190</v>
      </c>
      <c r="K446" s="2" t="s">
        <v>1787</v>
      </c>
      <c r="L446" s="2" t="s">
        <v>95</v>
      </c>
      <c r="M446" s="7" t="s">
        <v>1556</v>
      </c>
      <c r="N446" s="2" t="s">
        <v>3196</v>
      </c>
      <c r="O446" s="2"/>
      <c r="P446" s="2" t="s">
        <v>3170</v>
      </c>
      <c r="Q446" s="2" t="s">
        <v>3172</v>
      </c>
      <c r="R446" s="2" t="s">
        <v>3158</v>
      </c>
      <c r="S446" s="2" t="s">
        <v>2346</v>
      </c>
      <c r="T446" s="2" t="s">
        <v>2355</v>
      </c>
      <c r="U446" s="2" t="s">
        <v>91</v>
      </c>
      <c r="V446" s="2" t="s">
        <v>2380</v>
      </c>
      <c r="W446" s="2"/>
      <c r="Y446" t="str">
        <f>PROPER(Table1[[#This Row],[Industry]])</f>
        <v>Медицинска Индустрия</v>
      </c>
      <c r="Z446" t="str">
        <f>PROPER(Table1[[#This Row],[Insole]])</f>
        <v>Текстил, Антибактериална Стелка, Ортопедична Стелка,Сменяема Стелка</v>
      </c>
    </row>
    <row r="447" spans="1:26" ht="12.75" customHeight="1" x14ac:dyDescent="0.2">
      <c r="A447" s="2" t="s">
        <v>1769</v>
      </c>
      <c r="B447" s="2" t="s">
        <v>1770</v>
      </c>
      <c r="C447" s="2" t="s">
        <v>1771</v>
      </c>
      <c r="D447" s="2" t="s">
        <v>1983</v>
      </c>
      <c r="E447" s="2" t="s">
        <v>3039</v>
      </c>
      <c r="F447" s="2"/>
      <c r="G447" s="2" t="s">
        <v>1555</v>
      </c>
      <c r="H447" s="2" t="s">
        <v>536</v>
      </c>
      <c r="I447" s="2" t="s">
        <v>3108</v>
      </c>
      <c r="J447" s="2" t="s">
        <v>3190</v>
      </c>
      <c r="K447" s="2" t="s">
        <v>1787</v>
      </c>
      <c r="L447" s="2" t="s">
        <v>95</v>
      </c>
      <c r="M447" s="7" t="s">
        <v>1668</v>
      </c>
      <c r="N447" s="2" t="s">
        <v>3196</v>
      </c>
      <c r="O447" s="2"/>
      <c r="P447" s="2" t="s">
        <v>3170</v>
      </c>
      <c r="Q447" s="2" t="s">
        <v>3172</v>
      </c>
      <c r="R447" s="2" t="s">
        <v>3158</v>
      </c>
      <c r="S447" s="2" t="s">
        <v>2346</v>
      </c>
      <c r="T447" s="2" t="s">
        <v>2355</v>
      </c>
      <c r="U447" s="2" t="s">
        <v>91</v>
      </c>
      <c r="V447" s="2" t="s">
        <v>2370</v>
      </c>
      <c r="W447" s="2"/>
      <c r="Y447" t="str">
        <f>PROPER(Table1[[#This Row],[Industry]])</f>
        <v>Медицинска Индустрия</v>
      </c>
      <c r="Z447" t="str">
        <f>PROPER(Table1[[#This Row],[Insole]])</f>
        <v>Текстил, Антибактериална Стелка, Ортопедична Стелка,Сменяема Стелка</v>
      </c>
    </row>
    <row r="448" spans="1:26" ht="12.75" customHeight="1" x14ac:dyDescent="0.2">
      <c r="A448" s="2" t="s">
        <v>1602</v>
      </c>
      <c r="B448" s="2" t="s">
        <v>1603</v>
      </c>
      <c r="C448" s="2" t="s">
        <v>1604</v>
      </c>
      <c r="D448" s="2" t="s">
        <v>2082</v>
      </c>
      <c r="E448" s="2" t="s">
        <v>2984</v>
      </c>
      <c r="F448" s="2"/>
      <c r="G448" s="2" t="s">
        <v>1555</v>
      </c>
      <c r="H448" s="2" t="s">
        <v>536</v>
      </c>
      <c r="I448" s="2" t="s">
        <v>3109</v>
      </c>
      <c r="J448" s="2" t="s">
        <v>3190</v>
      </c>
      <c r="K448" s="2" t="s">
        <v>1984</v>
      </c>
      <c r="L448" s="2" t="s">
        <v>95</v>
      </c>
      <c r="M448" s="7" t="s">
        <v>1556</v>
      </c>
      <c r="N448" s="2" t="s">
        <v>3197</v>
      </c>
      <c r="O448" s="2"/>
      <c r="P448" s="2" t="s">
        <v>3170</v>
      </c>
      <c r="Q448" s="2" t="s">
        <v>3172</v>
      </c>
      <c r="R448" s="2" t="s">
        <v>3158</v>
      </c>
      <c r="S448" s="2" t="s">
        <v>2346</v>
      </c>
      <c r="T448" s="2" t="s">
        <v>2361</v>
      </c>
      <c r="U448" s="2" t="s">
        <v>91</v>
      </c>
      <c r="V448" s="2" t="s">
        <v>2431</v>
      </c>
      <c r="W448" s="2"/>
      <c r="Y448" t="str">
        <f>PROPER(Table1[[#This Row],[Industry]])</f>
        <v>Хранително-Вкусова Индустрия</v>
      </c>
      <c r="Z448" t="str">
        <f>PROPER(Table1[[#This Row],[Insole]])</f>
        <v>Текстил, Антибактериална Стелка, Ортопедична Стелка,Сменяема Стелка</v>
      </c>
    </row>
    <row r="449" spans="1:26" ht="12.75" customHeight="1" x14ac:dyDescent="0.2">
      <c r="A449" s="2" t="s">
        <v>1727</v>
      </c>
      <c r="B449" s="2" t="s">
        <v>1728</v>
      </c>
      <c r="C449" s="2" t="s">
        <v>1729</v>
      </c>
      <c r="D449" s="2" t="s">
        <v>2096</v>
      </c>
      <c r="E449" s="2" t="s">
        <v>3025</v>
      </c>
      <c r="F449" s="2"/>
      <c r="G449" s="2" t="s">
        <v>1555</v>
      </c>
      <c r="H449" s="2" t="s">
        <v>536</v>
      </c>
      <c r="I449" s="2" t="s">
        <v>3109</v>
      </c>
      <c r="J449" s="2" t="s">
        <v>3190</v>
      </c>
      <c r="K449" s="2" t="s">
        <v>1984</v>
      </c>
      <c r="L449" s="2" t="s">
        <v>95</v>
      </c>
      <c r="M449" s="7" t="s">
        <v>1556</v>
      </c>
      <c r="N449" s="2" t="s">
        <v>3197</v>
      </c>
      <c r="O449" s="2"/>
      <c r="P449" s="2" t="s">
        <v>3170</v>
      </c>
      <c r="Q449" s="2" t="s">
        <v>3172</v>
      </c>
      <c r="R449" s="2" t="s">
        <v>3158</v>
      </c>
      <c r="S449" s="2" t="s">
        <v>2346</v>
      </c>
      <c r="T449" s="2" t="s">
        <v>2361</v>
      </c>
      <c r="U449" s="2" t="s">
        <v>91</v>
      </c>
      <c r="V449" s="2" t="s">
        <v>2471</v>
      </c>
      <c r="W449" s="2"/>
      <c r="Y449" t="str">
        <f>PROPER(Table1[[#This Row],[Industry]])</f>
        <v>Хранително-Вкусова Индустрия</v>
      </c>
      <c r="Z449" t="str">
        <f>PROPER(Table1[[#This Row],[Insole]])</f>
        <v>Текстил, Антибактериална Стелка, Ортопедична Стелка,Сменяема Стелка</v>
      </c>
    </row>
    <row r="450" spans="1:26" ht="12.75" customHeight="1" x14ac:dyDescent="0.2">
      <c r="A450" s="2" t="s">
        <v>1599</v>
      </c>
      <c r="B450" s="2" t="s">
        <v>1600</v>
      </c>
      <c r="C450" s="2" t="s">
        <v>1601</v>
      </c>
      <c r="D450" s="2" t="s">
        <v>1961</v>
      </c>
      <c r="E450" s="2" t="s">
        <v>2983</v>
      </c>
      <c r="F450" s="2"/>
      <c r="G450" s="2" t="s">
        <v>1555</v>
      </c>
      <c r="H450" s="2" t="s">
        <v>536</v>
      </c>
      <c r="I450" s="2" t="s">
        <v>3109</v>
      </c>
      <c r="J450" s="2" t="s">
        <v>3190</v>
      </c>
      <c r="K450" s="2" t="s">
        <v>1787</v>
      </c>
      <c r="L450" s="2" t="s">
        <v>95</v>
      </c>
      <c r="M450" s="7" t="s">
        <v>1556</v>
      </c>
      <c r="N450" s="2" t="s">
        <v>3212</v>
      </c>
      <c r="O450" s="2"/>
      <c r="P450" s="2" t="s">
        <v>3170</v>
      </c>
      <c r="Q450" s="2" t="s">
        <v>3172</v>
      </c>
      <c r="R450" s="2" t="s">
        <v>3158</v>
      </c>
      <c r="S450" s="2" t="s">
        <v>2346</v>
      </c>
      <c r="T450" s="2" t="s">
        <v>2361</v>
      </c>
      <c r="U450" s="2" t="s">
        <v>91</v>
      </c>
      <c r="V450" s="2" t="s">
        <v>2430</v>
      </c>
      <c r="W450" s="2"/>
      <c r="Y450" t="str">
        <f>PROPER(Table1[[#This Row],[Industry]])</f>
        <v>Хранително-Вкусова Индустрия</v>
      </c>
      <c r="Z450" t="str">
        <f>PROPER(Table1[[#This Row],[Insole]])</f>
        <v>Текстил, Антибактериална Стелка, Ортопедична Стелка,Сменяема Стелка</v>
      </c>
    </row>
    <row r="451" spans="1:26" ht="12.75" customHeight="1" x14ac:dyDescent="0.2">
      <c r="A451" s="2" t="s">
        <v>1733</v>
      </c>
      <c r="B451" s="2" t="s">
        <v>1734</v>
      </c>
      <c r="C451" s="2" t="s">
        <v>1735</v>
      </c>
      <c r="D451" s="2" t="s">
        <v>2097</v>
      </c>
      <c r="E451" s="2" t="s">
        <v>3027</v>
      </c>
      <c r="F451" s="2"/>
      <c r="G451" s="2" t="s">
        <v>1555</v>
      </c>
      <c r="H451" s="2" t="s">
        <v>536</v>
      </c>
      <c r="I451" s="2" t="s">
        <v>3108</v>
      </c>
      <c r="J451" s="2" t="s">
        <v>3190</v>
      </c>
      <c r="K451" s="2" t="s">
        <v>1984</v>
      </c>
      <c r="L451" s="2" t="s">
        <v>95</v>
      </c>
      <c r="M451" s="7" t="s">
        <v>1574</v>
      </c>
      <c r="N451" s="2" t="s">
        <v>3196</v>
      </c>
      <c r="O451" s="2"/>
      <c r="P451" s="2" t="s">
        <v>3171</v>
      </c>
      <c r="Q451" s="2" t="s">
        <v>3172</v>
      </c>
      <c r="R451" s="2" t="s">
        <v>3158</v>
      </c>
      <c r="S451" s="2" t="s">
        <v>2346</v>
      </c>
      <c r="T451" s="2" t="s">
        <v>2355</v>
      </c>
      <c r="U451" s="2" t="s">
        <v>91</v>
      </c>
      <c r="V451" s="2" t="s">
        <v>2431</v>
      </c>
      <c r="W451" s="2"/>
      <c r="Y451" t="str">
        <f>PROPER(Table1[[#This Row],[Industry]])</f>
        <v>Медицинска Индустрия</v>
      </c>
      <c r="Z451" t="str">
        <f>PROPER(Table1[[#This Row],[Insole]])</f>
        <v>Текстил, Антибактериална Стелка, Ортопедична Стелка,Сменяема Стелка</v>
      </c>
    </row>
    <row r="452" spans="1:26" ht="12.75" customHeight="1" x14ac:dyDescent="0.2">
      <c r="A452" s="2" t="s">
        <v>1730</v>
      </c>
      <c r="B452" s="2" t="s">
        <v>1731</v>
      </c>
      <c r="C452" s="2" t="s">
        <v>1732</v>
      </c>
      <c r="D452" s="2" t="s">
        <v>1978</v>
      </c>
      <c r="E452" s="2" t="s">
        <v>3026</v>
      </c>
      <c r="F452" s="2"/>
      <c r="G452" s="2" t="s">
        <v>1555</v>
      </c>
      <c r="H452" s="2" t="s">
        <v>536</v>
      </c>
      <c r="I452" s="2" t="s">
        <v>3128</v>
      </c>
      <c r="J452" s="2" t="s">
        <v>3190</v>
      </c>
      <c r="K452" s="2" t="s">
        <v>1787</v>
      </c>
      <c r="L452" s="2" t="s">
        <v>95</v>
      </c>
      <c r="M452" s="7" t="s">
        <v>1574</v>
      </c>
      <c r="N452" s="2" t="s">
        <v>3196</v>
      </c>
      <c r="O452" s="2"/>
      <c r="P452" s="2" t="s">
        <v>3171</v>
      </c>
      <c r="Q452" s="2" t="s">
        <v>3172</v>
      </c>
      <c r="R452" s="2" t="s">
        <v>3158</v>
      </c>
      <c r="S452" s="2" t="s">
        <v>2346</v>
      </c>
      <c r="T452" s="2" t="s">
        <v>2355</v>
      </c>
      <c r="U452" s="2" t="s">
        <v>91</v>
      </c>
      <c r="V452" s="2" t="s">
        <v>2472</v>
      </c>
      <c r="W452" s="2"/>
      <c r="Y452" t="str">
        <f>PROPER(Table1[[#This Row],[Industry]])</f>
        <v>Лека Индустрия, Транспорт / Склад И Логистика</v>
      </c>
      <c r="Z452" t="str">
        <f>PROPER(Table1[[#This Row],[Insole]])</f>
        <v>Текстил, Антибактериална Стелка, Ортопедична Стелка,Сменяема Стелка</v>
      </c>
    </row>
    <row r="453" spans="1:26" ht="12.75" customHeight="1" x14ac:dyDescent="0.2">
      <c r="A453" s="2" t="s">
        <v>1766</v>
      </c>
      <c r="B453" s="2" t="s">
        <v>1767</v>
      </c>
      <c r="C453" s="2" t="s">
        <v>1768</v>
      </c>
      <c r="D453" s="2" t="s">
        <v>1982</v>
      </c>
      <c r="E453" s="2" t="s">
        <v>3038</v>
      </c>
      <c r="F453" s="2"/>
      <c r="G453" s="2" t="s">
        <v>1555</v>
      </c>
      <c r="H453" s="2" t="s">
        <v>536</v>
      </c>
      <c r="I453" s="2" t="s">
        <v>3150</v>
      </c>
      <c r="J453" s="2" t="s">
        <v>3190</v>
      </c>
      <c r="K453" s="2" t="s">
        <v>1787</v>
      </c>
      <c r="L453" s="2" t="s">
        <v>95</v>
      </c>
      <c r="M453" s="7" t="s">
        <v>1668</v>
      </c>
      <c r="N453" s="2" t="s">
        <v>3196</v>
      </c>
      <c r="O453" s="2"/>
      <c r="P453" s="2" t="s">
        <v>3173</v>
      </c>
      <c r="Q453" s="2" t="s">
        <v>3172</v>
      </c>
      <c r="R453" s="2" t="s">
        <v>3158</v>
      </c>
      <c r="S453" s="2" t="s">
        <v>2346</v>
      </c>
      <c r="T453" s="2" t="s">
        <v>2355</v>
      </c>
      <c r="U453" s="2" t="s">
        <v>91</v>
      </c>
      <c r="V453" s="2" t="s">
        <v>2381</v>
      </c>
      <c r="W453" s="2"/>
      <c r="Y453" t="str">
        <f>PROPER(Table1[[#This Row],[Industry]])</f>
        <v>Лека Индустрия</v>
      </c>
      <c r="Z453" t="str">
        <f>PROPER(Table1[[#This Row],[Insole]])</f>
        <v>Текстил, Антибактериална Стелка, Ортопедична Стелка,Сменяема Стелка</v>
      </c>
    </row>
    <row r="454" spans="1:26" ht="12.75" customHeight="1" x14ac:dyDescent="0.2">
      <c r="A454" s="2" t="s">
        <v>1552</v>
      </c>
      <c r="B454" s="2" t="s">
        <v>1553</v>
      </c>
      <c r="C454" s="2" t="s">
        <v>1554</v>
      </c>
      <c r="D454" s="2" t="s">
        <v>2076</v>
      </c>
      <c r="E454" s="2" t="s">
        <v>2969</v>
      </c>
      <c r="F454" s="2"/>
      <c r="G454" s="2" t="s">
        <v>1555</v>
      </c>
      <c r="H454" s="2" t="s">
        <v>536</v>
      </c>
      <c r="I454" s="2" t="s">
        <v>3118</v>
      </c>
      <c r="J454" s="2" t="s">
        <v>3190</v>
      </c>
      <c r="K454" s="2" t="s">
        <v>1984</v>
      </c>
      <c r="L454" s="2" t="s">
        <v>95</v>
      </c>
      <c r="M454" s="7" t="s">
        <v>1556</v>
      </c>
      <c r="N454" s="2" t="s">
        <v>3213</v>
      </c>
      <c r="O454" s="2"/>
      <c r="P454" s="2" t="s">
        <v>3173</v>
      </c>
      <c r="Q454" s="2" t="s">
        <v>3172</v>
      </c>
      <c r="R454" s="2" t="s">
        <v>3158</v>
      </c>
      <c r="S454" s="2" t="s">
        <v>2350</v>
      </c>
      <c r="T454" s="2" t="s">
        <v>2355</v>
      </c>
      <c r="U454" s="2" t="s">
        <v>91</v>
      </c>
      <c r="V454" s="2" t="s">
        <v>2432</v>
      </c>
      <c r="W454" s="2"/>
      <c r="Y454" t="str">
        <f>PROPER(Table1[[#This Row],[Industry]])</f>
        <v>Хранително-Вкусова Индустрия, Гастрономия / Кухня, Хорека, Болничен Персонал, Медицинска Индустрия, Фармацевтика</v>
      </c>
      <c r="Z454" t="str">
        <f>PROPER(Table1[[#This Row],[Insole]])</f>
        <v>Текстил, Антибактериална Стелка, Ортопедична Стелка,Сменяема Стелка</v>
      </c>
    </row>
    <row r="455" spans="1:26" ht="12.75" customHeight="1" x14ac:dyDescent="0.2">
      <c r="A455" s="2" t="s">
        <v>1561</v>
      </c>
      <c r="B455" s="2" t="s">
        <v>1562</v>
      </c>
      <c r="C455" s="2" t="s">
        <v>1563</v>
      </c>
      <c r="D455" s="2" t="s">
        <v>2077</v>
      </c>
      <c r="E455" s="2" t="s">
        <v>2971</v>
      </c>
      <c r="F455" s="2"/>
      <c r="G455" s="2" t="s">
        <v>1555</v>
      </c>
      <c r="H455" s="2" t="s">
        <v>536</v>
      </c>
      <c r="I455" s="2" t="s">
        <v>3114</v>
      </c>
      <c r="J455" s="2" t="s">
        <v>3190</v>
      </c>
      <c r="K455" s="2" t="s">
        <v>1984</v>
      </c>
      <c r="L455" s="2" t="s">
        <v>95</v>
      </c>
      <c r="M455" s="7" t="s">
        <v>1556</v>
      </c>
      <c r="N455" s="2" t="s">
        <v>3213</v>
      </c>
      <c r="O455" s="2"/>
      <c r="P455" s="2" t="s">
        <v>3173</v>
      </c>
      <c r="Q455" s="2" t="s">
        <v>3172</v>
      </c>
      <c r="R455" s="2" t="s">
        <v>3158</v>
      </c>
      <c r="S455" s="2" t="s">
        <v>2346</v>
      </c>
      <c r="T455" s="2" t="s">
        <v>2368</v>
      </c>
      <c r="U455" s="2" t="s">
        <v>91</v>
      </c>
      <c r="V455" s="2" t="s">
        <v>2429</v>
      </c>
      <c r="W455" s="2"/>
      <c r="Y455" t="str">
        <f>PROPER(Table1[[#This Row],[Industry]])</f>
        <v>Болничен Персонал</v>
      </c>
      <c r="Z455" t="str">
        <f>PROPER(Table1[[#This Row],[Insole]])</f>
        <v>Текстил, Антибактериална Стелка, Ортопедична Стелка,Сменяема Стелка</v>
      </c>
    </row>
    <row r="456" spans="1:26" ht="12.75" customHeight="1" x14ac:dyDescent="0.2">
      <c r="A456" s="2" t="s">
        <v>1688</v>
      </c>
      <c r="B456" s="2" t="s">
        <v>1689</v>
      </c>
      <c r="C456" s="2" t="s">
        <v>1690</v>
      </c>
      <c r="D456" s="2" t="s">
        <v>2090</v>
      </c>
      <c r="E456" s="2" t="s">
        <v>3012</v>
      </c>
      <c r="F456" s="2"/>
      <c r="G456" s="2" t="s">
        <v>1555</v>
      </c>
      <c r="H456" s="2" t="s">
        <v>536</v>
      </c>
      <c r="I456" s="2" t="s">
        <v>3109</v>
      </c>
      <c r="J456" s="2" t="s">
        <v>3190</v>
      </c>
      <c r="K456" s="2" t="s">
        <v>1984</v>
      </c>
      <c r="L456" s="2" t="s">
        <v>95</v>
      </c>
      <c r="M456" s="7" t="s">
        <v>1556</v>
      </c>
      <c r="N456" s="2" t="s">
        <v>3213</v>
      </c>
      <c r="O456" s="2"/>
      <c r="P456" s="2" t="s">
        <v>3173</v>
      </c>
      <c r="Q456" s="2" t="s">
        <v>3172</v>
      </c>
      <c r="R456" s="2" t="s">
        <v>3158</v>
      </c>
      <c r="S456" s="2" t="s">
        <v>2346</v>
      </c>
      <c r="T456" s="2" t="s">
        <v>2355</v>
      </c>
      <c r="U456" s="2" t="s">
        <v>91</v>
      </c>
      <c r="V456" s="2" t="s">
        <v>2403</v>
      </c>
      <c r="W456" s="2"/>
      <c r="Y456" t="str">
        <f>PROPER(Table1[[#This Row],[Industry]])</f>
        <v>Хранително-Вкусова Индустрия</v>
      </c>
      <c r="Z456" t="str">
        <f>PROPER(Table1[[#This Row],[Insole]])</f>
        <v>Текстил, Антибактериална Стелка, Ортопедична Стелка,Сменяема Стелка</v>
      </c>
    </row>
    <row r="457" spans="1:26" ht="12.75" customHeight="1" x14ac:dyDescent="0.2">
      <c r="A457" s="2" t="s">
        <v>1691</v>
      </c>
      <c r="B457" s="2" t="s">
        <v>1692</v>
      </c>
      <c r="C457" s="2" t="s">
        <v>1693</v>
      </c>
      <c r="D457" s="2" t="s">
        <v>2091</v>
      </c>
      <c r="E457" s="2" t="s">
        <v>3013</v>
      </c>
      <c r="F457" s="2"/>
      <c r="G457" s="2" t="s">
        <v>1555</v>
      </c>
      <c r="H457" s="2" t="s">
        <v>536</v>
      </c>
      <c r="I457" s="2" t="s">
        <v>3109</v>
      </c>
      <c r="J457" s="2" t="s">
        <v>3190</v>
      </c>
      <c r="K457" s="2" t="s">
        <v>1984</v>
      </c>
      <c r="L457" s="2" t="s">
        <v>95</v>
      </c>
      <c r="M457" s="7" t="s">
        <v>1556</v>
      </c>
      <c r="N457" s="2" t="s">
        <v>3213</v>
      </c>
      <c r="O457" s="2"/>
      <c r="P457" s="2" t="s">
        <v>3173</v>
      </c>
      <c r="Q457" s="2" t="s">
        <v>3172</v>
      </c>
      <c r="R457" s="2" t="s">
        <v>3158</v>
      </c>
      <c r="S457" s="2" t="s">
        <v>2346</v>
      </c>
      <c r="T457" s="2" t="s">
        <v>2368</v>
      </c>
      <c r="U457" s="2" t="s">
        <v>91</v>
      </c>
      <c r="V457" s="2" t="s">
        <v>2432</v>
      </c>
      <c r="W457" s="2"/>
      <c r="Y457" t="str">
        <f>PROPER(Table1[[#This Row],[Industry]])</f>
        <v>Хранително-Вкусова Индустрия</v>
      </c>
      <c r="Z457" t="str">
        <f>PROPER(Table1[[#This Row],[Insole]])</f>
        <v>Текстил, Антибактериална Стелка, Ортопедична Стелка,Сменяема Стелка</v>
      </c>
    </row>
    <row r="458" spans="1:26" ht="12.75" customHeight="1" x14ac:dyDescent="0.2">
      <c r="A458" s="2" t="s">
        <v>1557</v>
      </c>
      <c r="B458" s="2" t="s">
        <v>1558</v>
      </c>
      <c r="C458" s="2" t="s">
        <v>1559</v>
      </c>
      <c r="D458" s="2" t="s">
        <v>1955</v>
      </c>
      <c r="E458" s="2" t="s">
        <v>2970</v>
      </c>
      <c r="F458" s="2"/>
      <c r="G458" s="2" t="s">
        <v>1555</v>
      </c>
      <c r="H458" s="2" t="s">
        <v>536</v>
      </c>
      <c r="I458" s="2" t="s">
        <v>3109</v>
      </c>
      <c r="J458" s="2" t="s">
        <v>3190</v>
      </c>
      <c r="K458" s="2" t="s">
        <v>1787</v>
      </c>
      <c r="L458" s="2" t="s">
        <v>95</v>
      </c>
      <c r="M458" s="7" t="s">
        <v>1560</v>
      </c>
      <c r="N458" s="2" t="s">
        <v>3213</v>
      </c>
      <c r="O458" s="2"/>
      <c r="P458" s="2" t="s">
        <v>3173</v>
      </c>
      <c r="Q458" s="2" t="s">
        <v>3172</v>
      </c>
      <c r="R458" s="2" t="s">
        <v>3158</v>
      </c>
      <c r="S458" s="2" t="s">
        <v>2346</v>
      </c>
      <c r="T458" s="2" t="s">
        <v>2355</v>
      </c>
      <c r="U458" s="2" t="s">
        <v>91</v>
      </c>
      <c r="V458" s="2" t="s">
        <v>2432</v>
      </c>
      <c r="W458" s="2"/>
      <c r="Y458" t="str">
        <f>PROPER(Table1[[#This Row],[Industry]])</f>
        <v>Хранително-Вкусова Индустрия</v>
      </c>
      <c r="Z458" t="str">
        <f>PROPER(Table1[[#This Row],[Insole]])</f>
        <v>Текстил, Антибактериална Стелка, Ортопедична Стелка,Сменяема Стелка</v>
      </c>
    </row>
    <row r="459" spans="1:26" ht="12.75" customHeight="1" x14ac:dyDescent="0.2">
      <c r="A459" s="2" t="s">
        <v>1564</v>
      </c>
      <c r="B459" s="2" t="s">
        <v>1565</v>
      </c>
      <c r="C459" s="2" t="s">
        <v>1566</v>
      </c>
      <c r="D459" s="2" t="s">
        <v>1956</v>
      </c>
      <c r="E459" s="2" t="s">
        <v>2972</v>
      </c>
      <c r="F459" s="2"/>
      <c r="G459" s="2" t="s">
        <v>1555</v>
      </c>
      <c r="H459" s="2" t="s">
        <v>536</v>
      </c>
      <c r="I459" s="2" t="s">
        <v>3114</v>
      </c>
      <c r="J459" s="2" t="s">
        <v>3190</v>
      </c>
      <c r="K459" s="2" t="s">
        <v>1787</v>
      </c>
      <c r="L459" s="2" t="s">
        <v>95</v>
      </c>
      <c r="M459" s="7" t="s">
        <v>1556</v>
      </c>
      <c r="N459" s="2" t="s">
        <v>3213</v>
      </c>
      <c r="O459" s="2"/>
      <c r="P459" s="2" t="s">
        <v>3173</v>
      </c>
      <c r="Q459" s="2" t="s">
        <v>3172</v>
      </c>
      <c r="R459" s="2" t="s">
        <v>3158</v>
      </c>
      <c r="S459" s="2" t="s">
        <v>2346</v>
      </c>
      <c r="T459" s="2" t="s">
        <v>2368</v>
      </c>
      <c r="U459" s="2" t="s">
        <v>91</v>
      </c>
      <c r="V459" s="2" t="s">
        <v>2429</v>
      </c>
      <c r="W459" s="2"/>
      <c r="Y459" t="str">
        <f>PROPER(Table1[[#This Row],[Industry]])</f>
        <v>Болничен Персонал</v>
      </c>
      <c r="Z459" t="str">
        <f>PROPER(Table1[[#This Row],[Insole]])</f>
        <v>Текстил, Антибактериална Стелка, Ортопедична Стелка,Сменяема Стелка</v>
      </c>
    </row>
    <row r="460" spans="1:26" ht="12.75" customHeight="1" x14ac:dyDescent="0.2">
      <c r="A460" s="2" t="s">
        <v>1694</v>
      </c>
      <c r="B460" s="2" t="s">
        <v>1695</v>
      </c>
      <c r="C460" s="2" t="s">
        <v>1696</v>
      </c>
      <c r="D460" s="2" t="s">
        <v>1973</v>
      </c>
      <c r="E460" s="2" t="s">
        <v>3014</v>
      </c>
      <c r="F460" s="2"/>
      <c r="G460" s="2" t="s">
        <v>1555</v>
      </c>
      <c r="H460" s="2" t="s">
        <v>536</v>
      </c>
      <c r="I460" s="2" t="s">
        <v>3114</v>
      </c>
      <c r="J460" s="2" t="s">
        <v>3190</v>
      </c>
      <c r="K460" s="2" t="s">
        <v>1787</v>
      </c>
      <c r="L460" s="2" t="s">
        <v>95</v>
      </c>
      <c r="M460" s="7" t="s">
        <v>1556</v>
      </c>
      <c r="N460" s="2" t="s">
        <v>3213</v>
      </c>
      <c r="O460" s="2"/>
      <c r="P460" s="2" t="s">
        <v>3173</v>
      </c>
      <c r="Q460" s="2" t="s">
        <v>3172</v>
      </c>
      <c r="R460" s="2" t="s">
        <v>3158</v>
      </c>
      <c r="S460" s="2" t="s">
        <v>2346</v>
      </c>
      <c r="T460" s="2" t="s">
        <v>2368</v>
      </c>
      <c r="U460" s="2" t="s">
        <v>91</v>
      </c>
      <c r="V460" s="2" t="s">
        <v>2432</v>
      </c>
      <c r="W460" s="2"/>
      <c r="Y460" t="str">
        <f>PROPER(Table1[[#This Row],[Industry]])</f>
        <v>Болничен Персонал</v>
      </c>
      <c r="Z460" t="str">
        <f>PROPER(Table1[[#This Row],[Insole]])</f>
        <v>Текстил, Антибактериална Стелка, Ортопедична Стелка,Сменяема Стелка</v>
      </c>
    </row>
    <row r="461" spans="1:26" ht="12.75" customHeight="1" x14ac:dyDescent="0.2">
      <c r="A461" s="2" t="s">
        <v>1665</v>
      </c>
      <c r="B461" s="2" t="s">
        <v>1666</v>
      </c>
      <c r="C461" s="2" t="s">
        <v>1667</v>
      </c>
      <c r="D461" s="2" t="s">
        <v>1972</v>
      </c>
      <c r="E461" s="2" t="s">
        <v>3004</v>
      </c>
      <c r="F461" s="2"/>
      <c r="G461" s="2" t="s">
        <v>1555</v>
      </c>
      <c r="H461" s="2" t="s">
        <v>536</v>
      </c>
      <c r="I461" s="2" t="s">
        <v>3109</v>
      </c>
      <c r="J461" s="2" t="s">
        <v>3190</v>
      </c>
      <c r="K461" s="2" t="s">
        <v>1787</v>
      </c>
      <c r="L461" s="2" t="s">
        <v>95</v>
      </c>
      <c r="M461" s="7" t="s">
        <v>1668</v>
      </c>
      <c r="N461" s="2" t="s">
        <v>3213</v>
      </c>
      <c r="O461" s="2"/>
      <c r="P461" s="2" t="s">
        <v>3182</v>
      </c>
      <c r="Q461" s="2" t="s">
        <v>3172</v>
      </c>
      <c r="R461" s="2" t="s">
        <v>3158</v>
      </c>
      <c r="S461" s="2" t="s">
        <v>2346</v>
      </c>
      <c r="T461" s="2" t="s">
        <v>2355</v>
      </c>
      <c r="U461" s="2" t="s">
        <v>91</v>
      </c>
      <c r="V461" s="2" t="s">
        <v>2370</v>
      </c>
      <c r="W461" s="2"/>
      <c r="Y461" t="str">
        <f>PROPER(Table1[[#This Row],[Industry]])</f>
        <v>Хранително-Вкусова Индустрия</v>
      </c>
      <c r="Z461" t="str">
        <f>PROPER(Table1[[#This Row],[Insole]])</f>
        <v>Текстил, Антибактериална Стелка, Ортопедична Стелка,Сменяема Стелка</v>
      </c>
    </row>
    <row r="462" spans="1:26" ht="12.75" customHeight="1" x14ac:dyDescent="0.2">
      <c r="A462" s="2" t="s">
        <v>1593</v>
      </c>
      <c r="B462" s="2" t="s">
        <v>1594</v>
      </c>
      <c r="C462" s="2" t="s">
        <v>1595</v>
      </c>
      <c r="D462" s="2" t="s">
        <v>2171</v>
      </c>
      <c r="E462" s="2" t="s">
        <v>2981</v>
      </c>
      <c r="F462" s="2"/>
      <c r="G462" s="2" t="s">
        <v>1555</v>
      </c>
      <c r="H462" s="2" t="s">
        <v>536</v>
      </c>
      <c r="I462" s="2" t="s">
        <v>3115</v>
      </c>
      <c r="J462" s="2" t="s">
        <v>3191</v>
      </c>
      <c r="K462" s="2" t="s">
        <v>1984</v>
      </c>
      <c r="L462" s="2" t="s">
        <v>95</v>
      </c>
      <c r="M462" s="7" t="s">
        <v>1570</v>
      </c>
      <c r="N462" s="2" t="s">
        <v>3196</v>
      </c>
      <c r="O462" s="2"/>
      <c r="P462" s="2" t="s">
        <v>3170</v>
      </c>
      <c r="Q462" s="2" t="s">
        <v>3172</v>
      </c>
      <c r="R462" s="2" t="s">
        <v>3158</v>
      </c>
      <c r="S462" s="2" t="s">
        <v>2350</v>
      </c>
      <c r="T462" s="2" t="s">
        <v>2367</v>
      </c>
      <c r="U462" s="2" t="s">
        <v>91</v>
      </c>
      <c r="V462" s="2" t="s">
        <v>2403</v>
      </c>
      <c r="W462" s="2"/>
      <c r="Y462" t="str">
        <f>PROPER(Table1[[#This Row],[Industry]])</f>
        <v>Хранително-Вкусова Индустрия, Гастрономия / Кухня, Хорека, Болничен Персонал, Фармацевтика</v>
      </c>
      <c r="Z462" t="str">
        <f>PROPER(Table1[[#This Row],[Insole]])</f>
        <v>Текстил, Антибактериална Стелка, Ортопедична Стелка,Сменяема Стелка</v>
      </c>
    </row>
    <row r="463" spans="1:26" ht="12.75" customHeight="1" x14ac:dyDescent="0.2">
      <c r="A463" s="2" t="s">
        <v>1721</v>
      </c>
      <c r="B463" s="2" t="s">
        <v>1722</v>
      </c>
      <c r="C463" s="2" t="s">
        <v>1723</v>
      </c>
      <c r="D463" s="2" t="s">
        <v>2174</v>
      </c>
      <c r="E463" s="2" t="s">
        <v>3023</v>
      </c>
      <c r="F463" s="2"/>
      <c r="G463" s="2" t="s">
        <v>1555</v>
      </c>
      <c r="H463" s="2" t="s">
        <v>536</v>
      </c>
      <c r="I463" s="2" t="s">
        <v>3110</v>
      </c>
      <c r="J463" s="2" t="s">
        <v>3191</v>
      </c>
      <c r="K463" s="2" t="s">
        <v>1984</v>
      </c>
      <c r="L463" s="2" t="s">
        <v>95</v>
      </c>
      <c r="M463" s="7" t="s">
        <v>1570</v>
      </c>
      <c r="N463" s="2" t="s">
        <v>3196</v>
      </c>
      <c r="O463" s="2"/>
      <c r="P463" s="2" t="s">
        <v>3170</v>
      </c>
      <c r="Q463" s="2" t="s">
        <v>3172</v>
      </c>
      <c r="R463" s="2" t="s">
        <v>3158</v>
      </c>
      <c r="S463" s="2" t="s">
        <v>2346</v>
      </c>
      <c r="T463" s="2" t="s">
        <v>2367</v>
      </c>
      <c r="U463" s="2" t="s">
        <v>91</v>
      </c>
      <c r="V463" s="2" t="s">
        <v>2471</v>
      </c>
      <c r="W463" s="2"/>
      <c r="Y463" t="str">
        <f>PROPER(Table1[[#This Row],[Industry]])</f>
        <v>Гастрономия / Кухня</v>
      </c>
      <c r="Z463" t="str">
        <f>PROPER(Table1[[#This Row],[Insole]])</f>
        <v>Текстил, Антибактериална Стелка, Ортопедична Стелка,Сменяема Стелка</v>
      </c>
    </row>
    <row r="464" spans="1:26" ht="12.75" customHeight="1" x14ac:dyDescent="0.2">
      <c r="A464" s="2" t="s">
        <v>1596</v>
      </c>
      <c r="B464" s="2" t="s">
        <v>1597</v>
      </c>
      <c r="C464" s="2" t="s">
        <v>1598</v>
      </c>
      <c r="D464" s="2" t="s">
        <v>2200</v>
      </c>
      <c r="E464" s="2" t="s">
        <v>2982</v>
      </c>
      <c r="F464" s="2"/>
      <c r="G464" s="2" t="s">
        <v>1555</v>
      </c>
      <c r="H464" s="2" t="s">
        <v>536</v>
      </c>
      <c r="I464" s="2" t="s">
        <v>3113</v>
      </c>
      <c r="J464" s="2" t="s">
        <v>3191</v>
      </c>
      <c r="K464" s="2" t="s">
        <v>1787</v>
      </c>
      <c r="L464" s="2" t="s">
        <v>95</v>
      </c>
      <c r="M464" s="7" t="s">
        <v>1570</v>
      </c>
      <c r="N464" s="2" t="s">
        <v>3196</v>
      </c>
      <c r="O464" s="2"/>
      <c r="P464" s="2" t="s">
        <v>3170</v>
      </c>
      <c r="Q464" s="2" t="s">
        <v>3172</v>
      </c>
      <c r="R464" s="2" t="s">
        <v>3158</v>
      </c>
      <c r="S464" s="2" t="s">
        <v>2350</v>
      </c>
      <c r="T464" s="2" t="s">
        <v>2367</v>
      </c>
      <c r="U464" s="2" t="s">
        <v>91</v>
      </c>
      <c r="V464" s="2" t="s">
        <v>2403</v>
      </c>
      <c r="W464" s="2"/>
      <c r="Y464" t="str">
        <f>PROPER(Table1[[#This Row],[Industry]])</f>
        <v>Хранително-Вкусова Индустрия, Гастрономия / Кухня, Хорека, Болничен Персонал</v>
      </c>
      <c r="Z464" t="str">
        <f>PROPER(Table1[[#This Row],[Insole]])</f>
        <v>Текстил, Антибактериална Стелка, Ортопедична Стелка,Сменяема Стелка</v>
      </c>
    </row>
    <row r="465" spans="1:26" ht="12.75" customHeight="1" x14ac:dyDescent="0.2">
      <c r="A465" s="2" t="s">
        <v>1724</v>
      </c>
      <c r="B465" s="2" t="s">
        <v>1725</v>
      </c>
      <c r="C465" s="2" t="s">
        <v>1726</v>
      </c>
      <c r="D465" s="2" t="s">
        <v>2203</v>
      </c>
      <c r="E465" s="2" t="s">
        <v>3024</v>
      </c>
      <c r="F465" s="2"/>
      <c r="G465" s="2" t="s">
        <v>1555</v>
      </c>
      <c r="H465" s="2" t="s">
        <v>536</v>
      </c>
      <c r="I465" s="2" t="s">
        <v>3113</v>
      </c>
      <c r="J465" s="2" t="s">
        <v>3191</v>
      </c>
      <c r="K465" s="2" t="s">
        <v>1787</v>
      </c>
      <c r="L465" s="2" t="s">
        <v>95</v>
      </c>
      <c r="M465" s="7" t="s">
        <v>1570</v>
      </c>
      <c r="N465" s="2" t="s">
        <v>3196</v>
      </c>
      <c r="O465" s="2"/>
      <c r="P465" s="2" t="s">
        <v>3170</v>
      </c>
      <c r="Q465" s="2" t="s">
        <v>3172</v>
      </c>
      <c r="R465" s="2" t="s">
        <v>3158</v>
      </c>
      <c r="S465" s="2" t="s">
        <v>2350</v>
      </c>
      <c r="T465" s="2" t="s">
        <v>2367</v>
      </c>
      <c r="U465" s="2" t="s">
        <v>91</v>
      </c>
      <c r="V465" s="2" t="s">
        <v>2403</v>
      </c>
      <c r="W465" s="2"/>
      <c r="Y465" t="str">
        <f>PROPER(Table1[[#This Row],[Industry]])</f>
        <v>Хранително-Вкусова Индустрия, Гастрономия / Кухня, Хорека, Болничен Персонал</v>
      </c>
      <c r="Z465" t="str">
        <f>PROPER(Table1[[#This Row],[Insole]])</f>
        <v>Текстил, Антибактериална Стелка, Ортопедична Стелка,Сменяема Стелка</v>
      </c>
    </row>
    <row r="466" spans="1:26" ht="12.75" customHeight="1" x14ac:dyDescent="0.2">
      <c r="A466" s="2" t="s">
        <v>1567</v>
      </c>
      <c r="B466" s="2" t="s">
        <v>1568</v>
      </c>
      <c r="C466" s="2" t="s">
        <v>1569</v>
      </c>
      <c r="D466" s="2" t="s">
        <v>2078</v>
      </c>
      <c r="E466" s="2" t="s">
        <v>2973</v>
      </c>
      <c r="F466" s="2"/>
      <c r="G466" s="2" t="s">
        <v>1555</v>
      </c>
      <c r="H466" s="2" t="s">
        <v>536</v>
      </c>
      <c r="I466" s="2" t="s">
        <v>3113</v>
      </c>
      <c r="J466" s="2" t="s">
        <v>3192</v>
      </c>
      <c r="K466" s="2" t="s">
        <v>1984</v>
      </c>
      <c r="L466" s="2" t="s">
        <v>95</v>
      </c>
      <c r="M466" s="7" t="s">
        <v>1570</v>
      </c>
      <c r="N466" s="2" t="s">
        <v>3196</v>
      </c>
      <c r="O466" s="2"/>
      <c r="P466" s="2" t="s">
        <v>3170</v>
      </c>
      <c r="Q466" s="2" t="s">
        <v>3172</v>
      </c>
      <c r="R466" s="2" t="s">
        <v>3158</v>
      </c>
      <c r="S466" s="2" t="s">
        <v>2350</v>
      </c>
      <c r="T466" s="2" t="s">
        <v>2361</v>
      </c>
      <c r="U466" s="2" t="s">
        <v>91</v>
      </c>
      <c r="V466" s="2" t="s">
        <v>2429</v>
      </c>
      <c r="W466" s="2"/>
      <c r="Y466" t="str">
        <f>PROPER(Table1[[#This Row],[Industry]])</f>
        <v>Хранително-Вкусова Индустрия, Гастрономия / Кухня, Хорека, Болничен Персонал</v>
      </c>
      <c r="Z466" t="str">
        <f>PROPER(Table1[[#This Row],[Insole]])</f>
        <v>Текстил, Антибактериална Стелка, Ортопедична Стелка,Сменяема Стелка</v>
      </c>
    </row>
    <row r="467" spans="1:26" ht="12.75" customHeight="1" x14ac:dyDescent="0.2">
      <c r="A467" s="2" t="s">
        <v>1697</v>
      </c>
      <c r="B467" s="2" t="s">
        <v>1698</v>
      </c>
      <c r="C467" s="2" t="s">
        <v>1699</v>
      </c>
      <c r="D467" s="2" t="s">
        <v>2092</v>
      </c>
      <c r="E467" s="2" t="s">
        <v>3015</v>
      </c>
      <c r="F467" s="2"/>
      <c r="G467" s="2" t="s">
        <v>1555</v>
      </c>
      <c r="H467" s="2" t="s">
        <v>536</v>
      </c>
      <c r="I467" s="2" t="s">
        <v>3113</v>
      </c>
      <c r="J467" s="2" t="s">
        <v>3192</v>
      </c>
      <c r="K467" s="2" t="s">
        <v>1984</v>
      </c>
      <c r="L467" s="2" t="s">
        <v>95</v>
      </c>
      <c r="M467" s="7" t="s">
        <v>1570</v>
      </c>
      <c r="N467" s="2" t="s">
        <v>3196</v>
      </c>
      <c r="O467" s="2"/>
      <c r="P467" s="2" t="s">
        <v>3170</v>
      </c>
      <c r="Q467" s="2" t="s">
        <v>3172</v>
      </c>
      <c r="R467" s="2" t="s">
        <v>3158</v>
      </c>
      <c r="S467" s="2" t="s">
        <v>2350</v>
      </c>
      <c r="T467" s="2" t="s">
        <v>2368</v>
      </c>
      <c r="U467" s="2" t="s">
        <v>91</v>
      </c>
      <c r="V467" s="2" t="s">
        <v>2429</v>
      </c>
      <c r="W467" s="2"/>
      <c r="Y467" t="str">
        <f>PROPER(Table1[[#This Row],[Industry]])</f>
        <v>Хранително-Вкусова Индустрия, Гастрономия / Кухня, Хорека, Болничен Персонал</v>
      </c>
      <c r="Z467" t="str">
        <f>PROPER(Table1[[#This Row],[Insole]])</f>
        <v>Текстил, Антибактериална Стелка, Ортопедична Стелка,Сменяема Стелка</v>
      </c>
    </row>
    <row r="468" spans="1:26" ht="12.75" customHeight="1" x14ac:dyDescent="0.2">
      <c r="A468" s="2" t="s">
        <v>1571</v>
      </c>
      <c r="B468" s="2" t="s">
        <v>1572</v>
      </c>
      <c r="C468" s="2" t="s">
        <v>1573</v>
      </c>
      <c r="D468" s="2" t="s">
        <v>2079</v>
      </c>
      <c r="E468" s="2" t="s">
        <v>2974</v>
      </c>
      <c r="F468" s="2"/>
      <c r="G468" s="2" t="s">
        <v>1555</v>
      </c>
      <c r="H468" s="2" t="s">
        <v>536</v>
      </c>
      <c r="I468" s="2" t="s">
        <v>3123</v>
      </c>
      <c r="J468" s="2" t="s">
        <v>3192</v>
      </c>
      <c r="K468" s="2" t="s">
        <v>1984</v>
      </c>
      <c r="L468" s="2" t="s">
        <v>95</v>
      </c>
      <c r="M468" s="7" t="s">
        <v>1574</v>
      </c>
      <c r="N468" s="2" t="s">
        <v>3196</v>
      </c>
      <c r="O468" s="2"/>
      <c r="P468" s="2" t="s">
        <v>3170</v>
      </c>
      <c r="Q468" s="2" t="s">
        <v>3172</v>
      </c>
      <c r="R468" s="2" t="s">
        <v>3158</v>
      </c>
      <c r="S468" s="2" t="s">
        <v>2350</v>
      </c>
      <c r="T468" s="2" t="s">
        <v>2361</v>
      </c>
      <c r="U468" s="2" t="s">
        <v>91</v>
      </c>
      <c r="V468" s="2" t="s">
        <v>2430</v>
      </c>
      <c r="W468" s="2"/>
      <c r="Y468" t="str">
        <f>PROPER(Table1[[#This Row],[Industry]])</f>
        <v>Хранително-Вкусова Индустрия, Гастрономия / Кухня, Хорека, Болничен Персонал, Медицинска Индустрия</v>
      </c>
      <c r="Z468" t="str">
        <f>PROPER(Table1[[#This Row],[Insole]])</f>
        <v>Текстил, Антибактериална Стелка, Ортопедична Стелка,Сменяема Стелка</v>
      </c>
    </row>
    <row r="469" spans="1:26" ht="12.75" customHeight="1" x14ac:dyDescent="0.2">
      <c r="A469" s="2" t="s">
        <v>1700</v>
      </c>
      <c r="B469" s="2" t="s">
        <v>1701</v>
      </c>
      <c r="C469" s="2" t="s">
        <v>1702</v>
      </c>
      <c r="D469" s="2" t="s">
        <v>2093</v>
      </c>
      <c r="E469" s="2" t="s">
        <v>3016</v>
      </c>
      <c r="F469" s="2"/>
      <c r="G469" s="2" t="s">
        <v>1555</v>
      </c>
      <c r="H469" s="2" t="s">
        <v>536</v>
      </c>
      <c r="I469" s="2" t="s">
        <v>3123</v>
      </c>
      <c r="J469" s="2" t="s">
        <v>3192</v>
      </c>
      <c r="K469" s="2" t="s">
        <v>1984</v>
      </c>
      <c r="L469" s="2" t="s">
        <v>95</v>
      </c>
      <c r="M469" s="7" t="s">
        <v>1574</v>
      </c>
      <c r="N469" s="2" t="s">
        <v>3196</v>
      </c>
      <c r="O469" s="2"/>
      <c r="P469" s="2" t="s">
        <v>3170</v>
      </c>
      <c r="Q469" s="2" t="s">
        <v>3172</v>
      </c>
      <c r="R469" s="2" t="s">
        <v>3158</v>
      </c>
      <c r="S469" s="2" t="s">
        <v>2350</v>
      </c>
      <c r="T469" s="2" t="s">
        <v>2361</v>
      </c>
      <c r="U469" s="2" t="s">
        <v>91</v>
      </c>
      <c r="V469" s="2" t="s">
        <v>2430</v>
      </c>
      <c r="W469" s="2"/>
      <c r="Y469" t="str">
        <f>PROPER(Table1[[#This Row],[Industry]])</f>
        <v>Хранително-Вкусова Индустрия, Гастрономия / Кухня, Хорека, Болничен Персонал, Медицинска Индустрия</v>
      </c>
      <c r="Z469" t="str">
        <f>PROPER(Table1[[#This Row],[Insole]])</f>
        <v>Текстил, Антибактериална Стелка, Ортопедична Стелка,Сменяема Стелка</v>
      </c>
    </row>
    <row r="470" spans="1:26" ht="12.75" customHeight="1" x14ac:dyDescent="0.2">
      <c r="A470" s="2" t="s">
        <v>1581</v>
      </c>
      <c r="B470" s="2" t="s">
        <v>1582</v>
      </c>
      <c r="C470" s="2" t="s">
        <v>1583</v>
      </c>
      <c r="D470" s="2" t="s">
        <v>1957</v>
      </c>
      <c r="E470" s="2" t="s">
        <v>2977</v>
      </c>
      <c r="F470" s="2"/>
      <c r="G470" s="2" t="s">
        <v>1555</v>
      </c>
      <c r="H470" s="2" t="s">
        <v>536</v>
      </c>
      <c r="I470" s="2" t="s">
        <v>3116</v>
      </c>
      <c r="J470" s="2" t="s">
        <v>3192</v>
      </c>
      <c r="K470" s="2" t="s">
        <v>1787</v>
      </c>
      <c r="L470" s="2" t="s">
        <v>95</v>
      </c>
      <c r="M470" s="7" t="s">
        <v>1570</v>
      </c>
      <c r="N470" s="2" t="s">
        <v>3196</v>
      </c>
      <c r="O470" s="2"/>
      <c r="P470" s="2" t="s">
        <v>3170</v>
      </c>
      <c r="Q470" s="2" t="s">
        <v>3172</v>
      </c>
      <c r="R470" s="2" t="s">
        <v>3158</v>
      </c>
      <c r="S470" s="2" t="s">
        <v>2346</v>
      </c>
      <c r="T470" s="2" t="s">
        <v>2361</v>
      </c>
      <c r="U470" s="2" t="s">
        <v>91</v>
      </c>
      <c r="V470" s="2" t="s">
        <v>2403</v>
      </c>
      <c r="W470" s="2"/>
      <c r="Y470" t="str">
        <f>PROPER(Table1[[#This Row],[Industry]])</f>
        <v>Хорека</v>
      </c>
      <c r="Z470" t="str">
        <f>PROPER(Table1[[#This Row],[Insole]])</f>
        <v>Текстил, Антибактериална Стелка, Ортопедична Стелка,Сменяема Стелка</v>
      </c>
    </row>
    <row r="471" spans="1:26" ht="12.75" customHeight="1" x14ac:dyDescent="0.2">
      <c r="A471" s="2" t="s">
        <v>1709</v>
      </c>
      <c r="B471" s="2" t="s">
        <v>1710</v>
      </c>
      <c r="C471" s="2" t="s">
        <v>1711</v>
      </c>
      <c r="D471" s="2" t="s">
        <v>1974</v>
      </c>
      <c r="E471" s="2" t="s">
        <v>3019</v>
      </c>
      <c r="F471" s="2"/>
      <c r="G471" s="2" t="s">
        <v>1555</v>
      </c>
      <c r="H471" s="2" t="s">
        <v>536</v>
      </c>
      <c r="I471" s="2" t="s">
        <v>3116</v>
      </c>
      <c r="J471" s="2" t="s">
        <v>3192</v>
      </c>
      <c r="K471" s="2" t="s">
        <v>1787</v>
      </c>
      <c r="L471" s="2" t="s">
        <v>95</v>
      </c>
      <c r="M471" s="7" t="s">
        <v>1570</v>
      </c>
      <c r="N471" s="2" t="s">
        <v>3196</v>
      </c>
      <c r="O471" s="2"/>
      <c r="P471" s="2" t="s">
        <v>3170</v>
      </c>
      <c r="Q471" s="2" t="s">
        <v>3172</v>
      </c>
      <c r="R471" s="2" t="s">
        <v>3158</v>
      </c>
      <c r="S471" s="2" t="s">
        <v>2346</v>
      </c>
      <c r="T471" s="2" t="s">
        <v>2361</v>
      </c>
      <c r="U471" s="2" t="s">
        <v>91</v>
      </c>
      <c r="V471" s="2" t="s">
        <v>2403</v>
      </c>
      <c r="W471" s="2"/>
      <c r="Y471" t="str">
        <f>PROPER(Table1[[#This Row],[Industry]])</f>
        <v>Хорека</v>
      </c>
      <c r="Z471" t="str">
        <f>PROPER(Table1[[#This Row],[Insole]])</f>
        <v>Текстил, Антибактериална Стелка, Ортопедична Стелка,Сменяема Стелка</v>
      </c>
    </row>
    <row r="472" spans="1:26" ht="12.75" customHeight="1" x14ac:dyDescent="0.2">
      <c r="A472" s="2" t="s">
        <v>1584</v>
      </c>
      <c r="B472" s="2" t="s">
        <v>1585</v>
      </c>
      <c r="C472" s="2" t="s">
        <v>1586</v>
      </c>
      <c r="D472" s="2" t="s">
        <v>1958</v>
      </c>
      <c r="E472" s="2" t="s">
        <v>2978</v>
      </c>
      <c r="F472" s="2"/>
      <c r="G472" s="2" t="s">
        <v>1555</v>
      </c>
      <c r="H472" s="2" t="s">
        <v>536</v>
      </c>
      <c r="I472" s="2" t="s">
        <v>3123</v>
      </c>
      <c r="J472" s="2" t="s">
        <v>3192</v>
      </c>
      <c r="K472" s="2" t="s">
        <v>1787</v>
      </c>
      <c r="L472" s="2" t="s">
        <v>95</v>
      </c>
      <c r="M472" s="7" t="s">
        <v>1574</v>
      </c>
      <c r="N472" s="2" t="s">
        <v>3196</v>
      </c>
      <c r="O472" s="2"/>
      <c r="P472" s="2" t="s">
        <v>3170</v>
      </c>
      <c r="Q472" s="2" t="s">
        <v>3172</v>
      </c>
      <c r="R472" s="2" t="s">
        <v>3158</v>
      </c>
      <c r="S472" s="2" t="s">
        <v>2350</v>
      </c>
      <c r="T472" s="2" t="s">
        <v>2361</v>
      </c>
      <c r="U472" s="2" t="s">
        <v>91</v>
      </c>
      <c r="V472" s="2" t="s">
        <v>2403</v>
      </c>
      <c r="W472" s="2"/>
      <c r="Y472" t="str">
        <f>PROPER(Table1[[#This Row],[Industry]])</f>
        <v>Хранително-Вкусова Индустрия, Гастрономия / Кухня, Хорека, Болничен Персонал, Медицинска Индустрия</v>
      </c>
      <c r="Z472" t="str">
        <f>PROPER(Table1[[#This Row],[Insole]])</f>
        <v>Текстил, Антибактериална Стелка, Ортопедична Стелка,Сменяема Стелка</v>
      </c>
    </row>
    <row r="473" spans="1:26" ht="12.75" customHeight="1" x14ac:dyDescent="0.2">
      <c r="A473" s="2" t="s">
        <v>1712</v>
      </c>
      <c r="B473" s="2" t="s">
        <v>1713</v>
      </c>
      <c r="C473" s="2" t="s">
        <v>1714</v>
      </c>
      <c r="D473" s="2" t="s">
        <v>1975</v>
      </c>
      <c r="E473" s="2" t="s">
        <v>3020</v>
      </c>
      <c r="F473" s="2"/>
      <c r="G473" s="2" t="s">
        <v>1555</v>
      </c>
      <c r="H473" s="2" t="s">
        <v>536</v>
      </c>
      <c r="I473" s="2" t="s">
        <v>3123</v>
      </c>
      <c r="J473" s="2" t="s">
        <v>3192</v>
      </c>
      <c r="K473" s="2" t="s">
        <v>1787</v>
      </c>
      <c r="L473" s="2" t="s">
        <v>95</v>
      </c>
      <c r="M473" s="7" t="s">
        <v>1574</v>
      </c>
      <c r="N473" s="2" t="s">
        <v>3196</v>
      </c>
      <c r="O473" s="2"/>
      <c r="P473" s="2" t="s">
        <v>3170</v>
      </c>
      <c r="Q473" s="2" t="s">
        <v>3172</v>
      </c>
      <c r="R473" s="2" t="s">
        <v>3158</v>
      </c>
      <c r="S473" s="2" t="s">
        <v>2350</v>
      </c>
      <c r="T473" s="2" t="s">
        <v>2361</v>
      </c>
      <c r="U473" s="2" t="s">
        <v>91</v>
      </c>
      <c r="V473" s="2" t="s">
        <v>2403</v>
      </c>
      <c r="W473" s="2"/>
      <c r="Y473" t="str">
        <f>PROPER(Table1[[#This Row],[Industry]])</f>
        <v>Хранително-Вкусова Индустрия, Гастрономия / Кухня, Хорека, Болничен Персонал, Медицинска Индустрия</v>
      </c>
      <c r="Z473" t="str">
        <f>PROPER(Table1[[#This Row],[Insole]])</f>
        <v>Текстил, Антибактериална Стелка, Ортопедична Стелка,Сменяема Стелка</v>
      </c>
    </row>
    <row r="474" spans="1:26" ht="12.75" customHeight="1" x14ac:dyDescent="0.2">
      <c r="A474" s="2" t="s">
        <v>1635</v>
      </c>
      <c r="B474" s="2" t="s">
        <v>1636</v>
      </c>
      <c r="C474" s="2" t="s">
        <v>1637</v>
      </c>
      <c r="D474" s="2" t="s">
        <v>2088</v>
      </c>
      <c r="E474" s="2" t="s">
        <v>2994</v>
      </c>
      <c r="F474" s="2"/>
      <c r="G474" s="2" t="s">
        <v>1555</v>
      </c>
      <c r="H474" s="2" t="s">
        <v>536</v>
      </c>
      <c r="I474" s="2" t="s">
        <v>3118</v>
      </c>
      <c r="J474" s="2" t="s">
        <v>3190</v>
      </c>
      <c r="K474" s="2" t="s">
        <v>1984</v>
      </c>
      <c r="L474" s="2" t="s">
        <v>41</v>
      </c>
      <c r="M474" s="7" t="s">
        <v>1608</v>
      </c>
      <c r="N474" s="2" t="s">
        <v>3250</v>
      </c>
      <c r="O474" s="2"/>
      <c r="P474" s="2" t="s">
        <v>3170</v>
      </c>
      <c r="Q474" s="2" t="s">
        <v>3172</v>
      </c>
      <c r="R474" s="2" t="s">
        <v>3158</v>
      </c>
      <c r="S474" s="2" t="s">
        <v>2350</v>
      </c>
      <c r="T474" s="2" t="s">
        <v>2368</v>
      </c>
      <c r="U474" s="2" t="s">
        <v>91</v>
      </c>
      <c r="V474" s="2" t="s">
        <v>2435</v>
      </c>
      <c r="W474" s="2"/>
      <c r="Y474" t="str">
        <f>PROPER(Table1[[#This Row],[Industry]])</f>
        <v>Хранително-Вкусова Индустрия, Гастрономия / Кухня, Хорека, Болничен Персонал, Медицинска Индустрия, Фармацевтика</v>
      </c>
      <c r="Z474" t="str">
        <f>PROPER(Table1[[#This Row],[Insole]])</f>
        <v>Текстил, Антибактериална Стелка, Ортопедична Стелка,Сменяема Стелка</v>
      </c>
    </row>
    <row r="475" spans="1:26" ht="12.75" customHeight="1" x14ac:dyDescent="0.2">
      <c r="A475" s="2" t="s">
        <v>1638</v>
      </c>
      <c r="B475" s="2" t="s">
        <v>1639</v>
      </c>
      <c r="C475" s="2" t="s">
        <v>1640</v>
      </c>
      <c r="D475" s="2" t="s">
        <v>2089</v>
      </c>
      <c r="E475" s="2" t="s">
        <v>2995</v>
      </c>
      <c r="F475" s="2"/>
      <c r="G475" s="2" t="s">
        <v>1555</v>
      </c>
      <c r="H475" s="2" t="s">
        <v>536</v>
      </c>
      <c r="I475" s="2" t="s">
        <v>3116</v>
      </c>
      <c r="J475" s="2" t="s">
        <v>3190</v>
      </c>
      <c r="K475" s="2" t="s">
        <v>1984</v>
      </c>
      <c r="L475" s="2" t="s">
        <v>41</v>
      </c>
      <c r="M475" s="7" t="s">
        <v>1608</v>
      </c>
      <c r="N475" s="2"/>
      <c r="O475" s="2"/>
      <c r="P475" s="2" t="s">
        <v>3170</v>
      </c>
      <c r="Q475" s="2" t="s">
        <v>3172</v>
      </c>
      <c r="R475" s="2" t="s">
        <v>3158</v>
      </c>
      <c r="S475" s="2" t="s">
        <v>2346</v>
      </c>
      <c r="T475" s="2" t="s">
        <v>2355</v>
      </c>
      <c r="U475" s="2" t="s">
        <v>91</v>
      </c>
      <c r="V475" s="2" t="s">
        <v>2412</v>
      </c>
      <c r="W475" s="2"/>
      <c r="Y475" t="str">
        <f>PROPER(Table1[[#This Row],[Industry]])</f>
        <v>Хорека</v>
      </c>
      <c r="Z475" t="str">
        <f>PROPER(Table1[[#This Row],[Insole]])</f>
        <v>Текстил, Антибактериална Стелка, Ортопедична Стелка,Сменяема Стелка</v>
      </c>
    </row>
    <row r="476" spans="1:26" ht="12.75" customHeight="1" x14ac:dyDescent="0.2">
      <c r="A476" s="2" t="s">
        <v>1742</v>
      </c>
      <c r="B476" s="2" t="s">
        <v>1743</v>
      </c>
      <c r="C476" s="2" t="s">
        <v>1744</v>
      </c>
      <c r="D476" s="2" t="s">
        <v>2100</v>
      </c>
      <c r="E476" s="2" t="s">
        <v>3030</v>
      </c>
      <c r="F476" s="2"/>
      <c r="G476" s="2" t="s">
        <v>1555</v>
      </c>
      <c r="H476" s="2" t="s">
        <v>536</v>
      </c>
      <c r="I476" s="2" t="s">
        <v>3116</v>
      </c>
      <c r="J476" s="2" t="s">
        <v>3190</v>
      </c>
      <c r="K476" s="2" t="s">
        <v>1984</v>
      </c>
      <c r="L476" s="2" t="s">
        <v>41</v>
      </c>
      <c r="M476" s="7" t="s">
        <v>1608</v>
      </c>
      <c r="N476" s="2"/>
      <c r="O476" s="2"/>
      <c r="P476" s="2" t="s">
        <v>3170</v>
      </c>
      <c r="Q476" s="2" t="s">
        <v>3172</v>
      </c>
      <c r="R476" s="2" t="s">
        <v>3158</v>
      </c>
      <c r="S476" s="2" t="s">
        <v>2346</v>
      </c>
      <c r="T476" s="2" t="s">
        <v>2368</v>
      </c>
      <c r="U476" s="2" t="s">
        <v>91</v>
      </c>
      <c r="V476" s="2" t="s">
        <v>2372</v>
      </c>
      <c r="W476" s="2"/>
      <c r="Y476" t="str">
        <f>PROPER(Table1[[#This Row],[Industry]])</f>
        <v>Хорека</v>
      </c>
      <c r="Z476" t="str">
        <f>PROPER(Table1[[#This Row],[Insole]])</f>
        <v>Текстил, Антибактериална Стелка, Ортопедична Стелка,Сменяема Стелка</v>
      </c>
    </row>
    <row r="477" spans="1:26" ht="12.75" customHeight="1" x14ac:dyDescent="0.2">
      <c r="A477" s="2" t="s">
        <v>1745</v>
      </c>
      <c r="B477" s="2" t="s">
        <v>1746</v>
      </c>
      <c r="C477" s="2" t="s">
        <v>1747</v>
      </c>
      <c r="D477" s="2" t="s">
        <v>2101</v>
      </c>
      <c r="E477" s="2" t="s">
        <v>3031</v>
      </c>
      <c r="F477" s="2"/>
      <c r="G477" s="2" t="s">
        <v>1555</v>
      </c>
      <c r="H477" s="2" t="s">
        <v>536</v>
      </c>
      <c r="I477" s="2" t="s">
        <v>3116</v>
      </c>
      <c r="J477" s="2" t="s">
        <v>3190</v>
      </c>
      <c r="K477" s="2" t="s">
        <v>1984</v>
      </c>
      <c r="L477" s="2" t="s">
        <v>41</v>
      </c>
      <c r="M477" s="7" t="s">
        <v>1608</v>
      </c>
      <c r="N477" s="2"/>
      <c r="O477" s="2"/>
      <c r="P477" s="2" t="s">
        <v>3170</v>
      </c>
      <c r="Q477" s="2" t="s">
        <v>3172</v>
      </c>
      <c r="R477" s="2" t="s">
        <v>3158</v>
      </c>
      <c r="S477" s="2" t="s">
        <v>2346</v>
      </c>
      <c r="T477" s="2" t="s">
        <v>2355</v>
      </c>
      <c r="U477" s="2" t="s">
        <v>91</v>
      </c>
      <c r="V477" s="2" t="s">
        <v>2429</v>
      </c>
      <c r="W477" s="2"/>
      <c r="Y477" t="str">
        <f>PROPER(Table1[[#This Row],[Industry]])</f>
        <v>Хорека</v>
      </c>
      <c r="Z477" t="str">
        <f>PROPER(Table1[[#This Row],[Insole]])</f>
        <v>Текстил, Антибактериална Стелка, Ортопедична Стелка,Сменяема Стелка</v>
      </c>
    </row>
    <row r="478" spans="1:26" ht="12.75" customHeight="1" x14ac:dyDescent="0.2">
      <c r="A478" s="2" t="s">
        <v>1644</v>
      </c>
      <c r="B478" s="2" t="s">
        <v>1645</v>
      </c>
      <c r="C478" s="2" t="s">
        <v>1646</v>
      </c>
      <c r="D478" s="2" t="s">
        <v>1967</v>
      </c>
      <c r="E478" s="2" t="s">
        <v>2997</v>
      </c>
      <c r="F478" s="2"/>
      <c r="G478" s="2" t="s">
        <v>1555</v>
      </c>
      <c r="H478" s="2" t="s">
        <v>536</v>
      </c>
      <c r="I478" s="2" t="s">
        <v>3116</v>
      </c>
      <c r="J478" s="2" t="s">
        <v>3190</v>
      </c>
      <c r="K478" s="2" t="s">
        <v>1787</v>
      </c>
      <c r="L478" s="2" t="s">
        <v>41</v>
      </c>
      <c r="M478" s="7" t="s">
        <v>1608</v>
      </c>
      <c r="N478" s="2"/>
      <c r="O478" s="2"/>
      <c r="P478" s="2" t="s">
        <v>3170</v>
      </c>
      <c r="Q478" s="2" t="s">
        <v>3172</v>
      </c>
      <c r="R478" s="2" t="s">
        <v>3158</v>
      </c>
      <c r="S478" s="2" t="s">
        <v>2346</v>
      </c>
      <c r="T478" s="2" t="s">
        <v>2368</v>
      </c>
      <c r="U478" s="2" t="s">
        <v>91</v>
      </c>
      <c r="V478" s="2" t="s">
        <v>2435</v>
      </c>
      <c r="W478" s="2"/>
      <c r="Y478" t="str">
        <f>PROPER(Table1[[#This Row],[Industry]])</f>
        <v>Хорека</v>
      </c>
      <c r="Z478" t="str">
        <f>PROPER(Table1[[#This Row],[Insole]])</f>
        <v>Текстил, Антибактериална Стелка, Ортопедична Стелка,Сменяема Стелка</v>
      </c>
    </row>
    <row r="479" spans="1:26" ht="12.75" customHeight="1" x14ac:dyDescent="0.2">
      <c r="A479" s="2" t="s">
        <v>1647</v>
      </c>
      <c r="B479" s="2" t="s">
        <v>1648</v>
      </c>
      <c r="C479" s="2" t="s">
        <v>1649</v>
      </c>
      <c r="D479" s="2" t="s">
        <v>1968</v>
      </c>
      <c r="E479" s="2" t="s">
        <v>2998</v>
      </c>
      <c r="F479" s="2"/>
      <c r="G479" s="2" t="s">
        <v>1555</v>
      </c>
      <c r="H479" s="2" t="s">
        <v>536</v>
      </c>
      <c r="I479" s="2" t="s">
        <v>3116</v>
      </c>
      <c r="J479" s="2" t="s">
        <v>3190</v>
      </c>
      <c r="K479" s="2" t="s">
        <v>1787</v>
      </c>
      <c r="L479" s="2" t="s">
        <v>41</v>
      </c>
      <c r="M479" s="7" t="s">
        <v>1608</v>
      </c>
      <c r="N479" s="2"/>
      <c r="O479" s="2"/>
      <c r="P479" s="2" t="s">
        <v>3170</v>
      </c>
      <c r="Q479" s="2" t="s">
        <v>3172</v>
      </c>
      <c r="R479" s="2" t="s">
        <v>3158</v>
      </c>
      <c r="S479" s="2" t="s">
        <v>2346</v>
      </c>
      <c r="T479" s="2" t="s">
        <v>2355</v>
      </c>
      <c r="U479" s="2" t="s">
        <v>91</v>
      </c>
      <c r="V479" s="2" t="s">
        <v>2412</v>
      </c>
      <c r="W479" s="2"/>
      <c r="Y479" t="str">
        <f>PROPER(Table1[[#This Row],[Industry]])</f>
        <v>Хорека</v>
      </c>
      <c r="Z479" t="str">
        <f>PROPER(Table1[[#This Row],[Insole]])</f>
        <v>Текстил, Антибактериална Стелка, Ортопедична Стелка,Сменяема Стелка</v>
      </c>
    </row>
    <row r="480" spans="1:26" ht="12.75" customHeight="1" x14ac:dyDescent="0.2">
      <c r="A480" s="2" t="s">
        <v>1751</v>
      </c>
      <c r="B480" s="2" t="s">
        <v>1752</v>
      </c>
      <c r="C480" s="2" t="s">
        <v>1753</v>
      </c>
      <c r="D480" s="2" t="s">
        <v>1980</v>
      </c>
      <c r="E480" s="2" t="s">
        <v>3033</v>
      </c>
      <c r="F480" s="2"/>
      <c r="G480" s="2" t="s">
        <v>1555</v>
      </c>
      <c r="H480" s="2" t="s">
        <v>536</v>
      </c>
      <c r="I480" s="2" t="s">
        <v>3116</v>
      </c>
      <c r="J480" s="2" t="s">
        <v>3190</v>
      </c>
      <c r="K480" s="2" t="s">
        <v>1787</v>
      </c>
      <c r="L480" s="2" t="s">
        <v>41</v>
      </c>
      <c r="M480" s="7" t="s">
        <v>1608</v>
      </c>
      <c r="N480" s="2"/>
      <c r="O480" s="2"/>
      <c r="P480" s="2" t="s">
        <v>3170</v>
      </c>
      <c r="Q480" s="2" t="s">
        <v>3172</v>
      </c>
      <c r="R480" s="2" t="s">
        <v>3158</v>
      </c>
      <c r="S480" s="2" t="s">
        <v>2346</v>
      </c>
      <c r="T480" s="2" t="s">
        <v>2355</v>
      </c>
      <c r="U480" s="2" t="s">
        <v>91</v>
      </c>
      <c r="V480" s="2" t="s">
        <v>2432</v>
      </c>
      <c r="W480" s="2"/>
      <c r="Y480" t="str">
        <f>PROPER(Table1[[#This Row],[Industry]])</f>
        <v>Хорека</v>
      </c>
      <c r="Z480" t="str">
        <f>PROPER(Table1[[#This Row],[Insole]])</f>
        <v>Текстил, Антибактериална Стелка, Ортопедична Стелка,Сменяема Стелка</v>
      </c>
    </row>
    <row r="481" spans="1:26" ht="12.75" customHeight="1" x14ac:dyDescent="0.2">
      <c r="A481" s="2" t="s">
        <v>1763</v>
      </c>
      <c r="B481" s="2" t="s">
        <v>1764</v>
      </c>
      <c r="C481" s="2" t="s">
        <v>1765</v>
      </c>
      <c r="D481" s="2" t="s">
        <v>2102</v>
      </c>
      <c r="E481" s="2" t="s">
        <v>3037</v>
      </c>
      <c r="F481" s="2"/>
      <c r="G481" s="2" t="s">
        <v>1555</v>
      </c>
      <c r="H481" s="2" t="s">
        <v>536</v>
      </c>
      <c r="I481" s="2" t="s">
        <v>3114</v>
      </c>
      <c r="J481" s="2" t="s">
        <v>3190</v>
      </c>
      <c r="K481" s="2" t="s">
        <v>1984</v>
      </c>
      <c r="L481" s="2" t="s">
        <v>41</v>
      </c>
      <c r="M481" s="7" t="s">
        <v>1634</v>
      </c>
      <c r="N481" s="2"/>
      <c r="O481" s="2"/>
      <c r="P481" s="2" t="s">
        <v>3171</v>
      </c>
      <c r="Q481" s="2" t="s">
        <v>3172</v>
      </c>
      <c r="R481" s="2" t="s">
        <v>3158</v>
      </c>
      <c r="S481" s="2" t="s">
        <v>2346</v>
      </c>
      <c r="T481" s="2" t="s">
        <v>2355</v>
      </c>
      <c r="U481" s="2" t="s">
        <v>91</v>
      </c>
      <c r="V481" s="2" t="s">
        <v>2431</v>
      </c>
      <c r="W481" s="2"/>
      <c r="Y481" t="str">
        <f>PROPER(Table1[[#This Row],[Industry]])</f>
        <v>Болничен Персонал</v>
      </c>
      <c r="Z481" t="str">
        <f>PROPER(Table1[[#This Row],[Insole]])</f>
        <v>Текстил, Антибактериална Стелка, Ортопедична Стелка,Сменяема Стелка</v>
      </c>
    </row>
    <row r="482" spans="1:26" ht="12.75" customHeight="1" x14ac:dyDescent="0.2">
      <c r="A482" s="2" t="s">
        <v>1760</v>
      </c>
      <c r="B482" s="2" t="s">
        <v>1761</v>
      </c>
      <c r="C482" s="2" t="s">
        <v>1762</v>
      </c>
      <c r="D482" s="2" t="s">
        <v>1981</v>
      </c>
      <c r="E482" s="2" t="s">
        <v>3036</v>
      </c>
      <c r="F482" s="2"/>
      <c r="G482" s="2" t="s">
        <v>1555</v>
      </c>
      <c r="H482" s="2" t="s">
        <v>536</v>
      </c>
      <c r="I482" s="2" t="s">
        <v>3150</v>
      </c>
      <c r="J482" s="2" t="s">
        <v>3190</v>
      </c>
      <c r="K482" s="2" t="s">
        <v>1787</v>
      </c>
      <c r="L482" s="2" t="s">
        <v>41</v>
      </c>
      <c r="M482" s="7" t="s">
        <v>1634</v>
      </c>
      <c r="N482" s="2"/>
      <c r="O482" s="2"/>
      <c r="P482" s="2" t="s">
        <v>3171</v>
      </c>
      <c r="Q482" s="2" t="s">
        <v>3172</v>
      </c>
      <c r="R482" s="2" t="s">
        <v>3158</v>
      </c>
      <c r="S482" s="2" t="s">
        <v>2346</v>
      </c>
      <c r="T482" s="2" t="s">
        <v>2355</v>
      </c>
      <c r="U482" s="2" t="s">
        <v>91</v>
      </c>
      <c r="V482" s="2" t="s">
        <v>2431</v>
      </c>
      <c r="W482" s="2"/>
      <c r="Y482" t="str">
        <f>PROPER(Table1[[#This Row],[Industry]])</f>
        <v>Лека Индустрия</v>
      </c>
      <c r="Z482" t="str">
        <f>PROPER(Table1[[#This Row],[Insole]])</f>
        <v>Текстил, Антибактериална Стелка, Ортопедична Стелка,Сменяема Стелка</v>
      </c>
    </row>
    <row r="483" spans="1:26" ht="12.75" customHeight="1" x14ac:dyDescent="0.2">
      <c r="A483" s="2" t="s">
        <v>1650</v>
      </c>
      <c r="B483" s="2" t="s">
        <v>1651</v>
      </c>
      <c r="C483" s="2" t="s">
        <v>1652</v>
      </c>
      <c r="D483" s="2" t="s">
        <v>1969</v>
      </c>
      <c r="E483" s="2" t="s">
        <v>2999</v>
      </c>
      <c r="F483" s="2"/>
      <c r="G483" s="2" t="s">
        <v>1555</v>
      </c>
      <c r="H483" s="2" t="s">
        <v>536</v>
      </c>
      <c r="I483" s="2" t="s">
        <v>3114</v>
      </c>
      <c r="J483" s="2" t="s">
        <v>3190</v>
      </c>
      <c r="K483" s="2" t="s">
        <v>1787</v>
      </c>
      <c r="L483" s="2" t="s">
        <v>41</v>
      </c>
      <c r="M483" s="7" t="s">
        <v>1608</v>
      </c>
      <c r="N483" s="2" t="s">
        <v>3210</v>
      </c>
      <c r="O483" s="2"/>
      <c r="P483" s="2" t="s">
        <v>3173</v>
      </c>
      <c r="Q483" s="2" t="s">
        <v>3172</v>
      </c>
      <c r="R483" s="2" t="s">
        <v>3158</v>
      </c>
      <c r="S483" s="2" t="s">
        <v>2346</v>
      </c>
      <c r="T483" s="2" t="s">
        <v>2361</v>
      </c>
      <c r="U483" s="2" t="s">
        <v>91</v>
      </c>
      <c r="V483" s="2" t="s">
        <v>2447</v>
      </c>
      <c r="W483" s="2"/>
      <c r="Y483" t="str">
        <f>PROPER(Table1[[#This Row],[Industry]])</f>
        <v>Болничен Персонал</v>
      </c>
      <c r="Z483" t="str">
        <f>PROPER(Table1[[#This Row],[Insole]])</f>
        <v>Текстил, Антибактериална Стелка, Ортопедична Стелка,Сменяема Стелка</v>
      </c>
    </row>
    <row r="484" spans="1:26" ht="12.75" customHeight="1" x14ac:dyDescent="0.2">
      <c r="A484" s="2" t="s">
        <v>1624</v>
      </c>
      <c r="B484" s="2" t="s">
        <v>1625</v>
      </c>
      <c r="C484" s="2" t="s">
        <v>1626</v>
      </c>
      <c r="D484" s="2" t="s">
        <v>1965</v>
      </c>
      <c r="E484" s="2" t="s">
        <v>2991</v>
      </c>
      <c r="F484" s="2"/>
      <c r="G484" s="2" t="s">
        <v>1555</v>
      </c>
      <c r="H484" s="2" t="s">
        <v>536</v>
      </c>
      <c r="I484" s="2" t="s">
        <v>3116</v>
      </c>
      <c r="J484" s="2" t="s">
        <v>3190</v>
      </c>
      <c r="K484" s="2" t="s">
        <v>1787</v>
      </c>
      <c r="L484" s="2" t="s">
        <v>41</v>
      </c>
      <c r="M484" s="7" t="s">
        <v>1608</v>
      </c>
      <c r="N484" s="2" t="s">
        <v>3209</v>
      </c>
      <c r="O484" s="2"/>
      <c r="P484" s="2" t="s">
        <v>3173</v>
      </c>
      <c r="Q484" s="2" t="s">
        <v>3172</v>
      </c>
      <c r="R484" s="2" t="s">
        <v>3158</v>
      </c>
      <c r="S484" s="2" t="s">
        <v>2346</v>
      </c>
      <c r="T484" s="2" t="s">
        <v>2368</v>
      </c>
      <c r="U484" s="2" t="s">
        <v>91</v>
      </c>
      <c r="V484" s="2" t="s">
        <v>2436</v>
      </c>
      <c r="W484" s="2"/>
      <c r="Y484" t="str">
        <f>PROPER(Table1[[#This Row],[Industry]])</f>
        <v>Хорека</v>
      </c>
      <c r="Z484" t="str">
        <f>PROPER(Table1[[#This Row],[Insole]])</f>
        <v>Текстил, Антибактериална Стелка, Ортопедична Стелка,Сменяема Стелка</v>
      </c>
    </row>
    <row r="485" spans="1:26" ht="12.75" customHeight="1" x14ac:dyDescent="0.2">
      <c r="A485" s="2" t="s">
        <v>1615</v>
      </c>
      <c r="B485" s="2" t="s">
        <v>1616</v>
      </c>
      <c r="C485" s="2" t="s">
        <v>1617</v>
      </c>
      <c r="D485" s="2" t="s">
        <v>2084</v>
      </c>
      <c r="E485" s="2" t="s">
        <v>2988</v>
      </c>
      <c r="F485" s="2"/>
      <c r="G485" s="2" t="s">
        <v>1555</v>
      </c>
      <c r="H485" s="2" t="s">
        <v>536</v>
      </c>
      <c r="I485" s="2" t="s">
        <v>3118</v>
      </c>
      <c r="J485" s="2" t="s">
        <v>3190</v>
      </c>
      <c r="K485" s="2" t="s">
        <v>1984</v>
      </c>
      <c r="L485" s="2" t="s">
        <v>41</v>
      </c>
      <c r="M485" s="7" t="s">
        <v>1608</v>
      </c>
      <c r="N485" s="2" t="s">
        <v>3214</v>
      </c>
      <c r="O485" s="2"/>
      <c r="P485" s="2" t="s">
        <v>3173</v>
      </c>
      <c r="Q485" s="2" t="s">
        <v>3172</v>
      </c>
      <c r="R485" s="2" t="s">
        <v>3158</v>
      </c>
      <c r="S485" s="2" t="s">
        <v>2350</v>
      </c>
      <c r="T485" s="2" t="s">
        <v>2355</v>
      </c>
      <c r="U485" s="2" t="s">
        <v>91</v>
      </c>
      <c r="V485" s="2" t="s">
        <v>2447</v>
      </c>
      <c r="W485" s="2"/>
      <c r="Y485" t="str">
        <f>PROPER(Table1[[#This Row],[Industry]])</f>
        <v>Хранително-Вкусова Индустрия, Гастрономия / Кухня, Хорека, Болничен Персонал, Медицинска Индустрия, Фармацевтика</v>
      </c>
      <c r="Z485" t="str">
        <f>PROPER(Table1[[#This Row],[Insole]])</f>
        <v>Текстил, Антибактериална Стелка, Ортопедична Стелка,Сменяема Стелка</v>
      </c>
    </row>
    <row r="486" spans="1:26" ht="12.75" customHeight="1" x14ac:dyDescent="0.2">
      <c r="A486" s="2" t="s">
        <v>1621</v>
      </c>
      <c r="B486" s="2" t="s">
        <v>1622</v>
      </c>
      <c r="C486" s="2" t="s">
        <v>1623</v>
      </c>
      <c r="D486" s="2" t="s">
        <v>2085</v>
      </c>
      <c r="E486" s="2" t="s">
        <v>2990</v>
      </c>
      <c r="F486" s="2"/>
      <c r="G486" s="2" t="s">
        <v>1555</v>
      </c>
      <c r="H486" s="2" t="s">
        <v>536</v>
      </c>
      <c r="I486" s="2" t="s">
        <v>3118</v>
      </c>
      <c r="J486" s="2" t="s">
        <v>3190</v>
      </c>
      <c r="K486" s="2" t="s">
        <v>1984</v>
      </c>
      <c r="L486" s="2" t="s">
        <v>41</v>
      </c>
      <c r="M486" s="7" t="s">
        <v>1608</v>
      </c>
      <c r="N486" s="2" t="s">
        <v>3214</v>
      </c>
      <c r="O486" s="2"/>
      <c r="P486" s="2" t="s">
        <v>3173</v>
      </c>
      <c r="Q486" s="2" t="s">
        <v>3172</v>
      </c>
      <c r="R486" s="2" t="s">
        <v>3158</v>
      </c>
      <c r="S486" s="2" t="s">
        <v>2350</v>
      </c>
      <c r="T486" s="2" t="s">
        <v>2368</v>
      </c>
      <c r="U486" s="2" t="s">
        <v>91</v>
      </c>
      <c r="V486" s="2" t="s">
        <v>2436</v>
      </c>
      <c r="W486" s="2"/>
      <c r="Y486" t="str">
        <f>PROPER(Table1[[#This Row],[Industry]])</f>
        <v>Хранително-Вкусова Индустрия, Гастрономия / Кухня, Хорека, Болничен Персонал, Медицинска Индустрия, Фармацевтика</v>
      </c>
      <c r="Z486" t="str">
        <f>PROPER(Table1[[#This Row],[Insole]])</f>
        <v>Текстил, Антибактериална Стелка, Ортопедична Стелка,Сменяема Стелка</v>
      </c>
    </row>
    <row r="487" spans="1:26" ht="12.75" customHeight="1" x14ac:dyDescent="0.2">
      <c r="A487" s="2" t="s">
        <v>1618</v>
      </c>
      <c r="B487" s="2" t="s">
        <v>1619</v>
      </c>
      <c r="C487" s="2" t="s">
        <v>1620</v>
      </c>
      <c r="D487" s="2" t="s">
        <v>1964</v>
      </c>
      <c r="E487" s="2" t="s">
        <v>2989</v>
      </c>
      <c r="F487" s="2"/>
      <c r="G487" s="2" t="s">
        <v>1555</v>
      </c>
      <c r="H487" s="2" t="s">
        <v>536</v>
      </c>
      <c r="I487" s="2" t="s">
        <v>3116</v>
      </c>
      <c r="J487" s="2" t="s">
        <v>3190</v>
      </c>
      <c r="K487" s="2" t="s">
        <v>1787</v>
      </c>
      <c r="L487" s="2" t="s">
        <v>41</v>
      </c>
      <c r="M487" s="7" t="s">
        <v>1608</v>
      </c>
      <c r="N487" s="2" t="s">
        <v>3214</v>
      </c>
      <c r="O487" s="2"/>
      <c r="P487" s="2" t="s">
        <v>3173</v>
      </c>
      <c r="Q487" s="2" t="s">
        <v>3172</v>
      </c>
      <c r="R487" s="2" t="s">
        <v>3158</v>
      </c>
      <c r="S487" s="2" t="s">
        <v>2346</v>
      </c>
      <c r="T487" s="2" t="s">
        <v>2355</v>
      </c>
      <c r="U487" s="2" t="s">
        <v>91</v>
      </c>
      <c r="V487" s="2" t="s">
        <v>2447</v>
      </c>
      <c r="W487" s="2"/>
      <c r="Y487" t="str">
        <f>PROPER(Table1[[#This Row],[Industry]])</f>
        <v>Хорека</v>
      </c>
      <c r="Z487" t="str">
        <f>PROPER(Table1[[#This Row],[Insole]])</f>
        <v>Текстил, Антибактериална Стелка, Ортопедична Стелка,Сменяема Стелка</v>
      </c>
    </row>
    <row r="488" spans="1:26" ht="12.75" customHeight="1" x14ac:dyDescent="0.2">
      <c r="A488" s="2" t="s">
        <v>1609</v>
      </c>
      <c r="B488" s="2" t="s">
        <v>1610</v>
      </c>
      <c r="C488" s="2" t="s">
        <v>1611</v>
      </c>
      <c r="D488" s="2" t="s">
        <v>1963</v>
      </c>
      <c r="E488" s="2" t="s">
        <v>2986</v>
      </c>
      <c r="F488" s="2"/>
      <c r="G488" s="2" t="s">
        <v>1555</v>
      </c>
      <c r="H488" s="2" t="s">
        <v>536</v>
      </c>
      <c r="I488" s="2" t="s">
        <v>3116</v>
      </c>
      <c r="J488" s="2" t="s">
        <v>3190</v>
      </c>
      <c r="K488" s="2" t="s">
        <v>1787</v>
      </c>
      <c r="L488" s="2" t="s">
        <v>41</v>
      </c>
      <c r="M488" s="7" t="s">
        <v>1608</v>
      </c>
      <c r="N488" s="2"/>
      <c r="O488" s="2"/>
      <c r="P488" s="2" t="s">
        <v>3173</v>
      </c>
      <c r="Q488" s="2" t="s">
        <v>3172</v>
      </c>
      <c r="R488" s="2" t="s">
        <v>3158</v>
      </c>
      <c r="S488" s="2" t="s">
        <v>2346</v>
      </c>
      <c r="T488" s="2" t="s">
        <v>2355</v>
      </c>
      <c r="U488" s="2" t="s">
        <v>91</v>
      </c>
      <c r="V488" s="2" t="s">
        <v>2435</v>
      </c>
      <c r="W488" s="2"/>
      <c r="Y488" t="str">
        <f>PROPER(Table1[[#This Row],[Industry]])</f>
        <v>Хорека</v>
      </c>
      <c r="Z488" t="str">
        <f>PROPER(Table1[[#This Row],[Insole]])</f>
        <v>Текстил, Антибактериална Стелка, Ортопедична Стелка,Сменяема Стелка</v>
      </c>
    </row>
    <row r="489" spans="1:26" ht="12.75" customHeight="1" x14ac:dyDescent="0.2">
      <c r="A489" s="2" t="s">
        <v>1656</v>
      </c>
      <c r="B489" s="2" t="s">
        <v>1657</v>
      </c>
      <c r="C489" s="2" t="s">
        <v>1658</v>
      </c>
      <c r="D489" s="2" t="s">
        <v>1971</v>
      </c>
      <c r="E489" s="2" t="s">
        <v>3001</v>
      </c>
      <c r="F489" s="2"/>
      <c r="G489" s="2" t="s">
        <v>1555</v>
      </c>
      <c r="H489" s="2" t="s">
        <v>536</v>
      </c>
      <c r="I489" s="2" t="s">
        <v>3116</v>
      </c>
      <c r="J489" s="2" t="s">
        <v>3190</v>
      </c>
      <c r="K489" s="2" t="s">
        <v>1787</v>
      </c>
      <c r="L489" s="2" t="s">
        <v>41</v>
      </c>
      <c r="M489" s="7" t="s">
        <v>1608</v>
      </c>
      <c r="N489" s="2"/>
      <c r="O489" s="2"/>
      <c r="P489" s="2" t="s">
        <v>3173</v>
      </c>
      <c r="Q489" s="2" t="s">
        <v>3172</v>
      </c>
      <c r="R489" s="2" t="s">
        <v>3158</v>
      </c>
      <c r="S489" s="2" t="s">
        <v>2346</v>
      </c>
      <c r="T489" s="2" t="s">
        <v>2355</v>
      </c>
      <c r="U489" s="2" t="s">
        <v>91</v>
      </c>
      <c r="V489" s="2" t="s">
        <v>2446</v>
      </c>
      <c r="W489" s="2"/>
      <c r="Y489" t="str">
        <f>PROPER(Table1[[#This Row],[Industry]])</f>
        <v>Хорека</v>
      </c>
      <c r="Z489" t="str">
        <f>PROPER(Table1[[#This Row],[Insole]])</f>
        <v>Текстил, Антибактериална Стелка, Ортопедична Стелка,Сменяема Стелка</v>
      </c>
    </row>
    <row r="490" spans="1:26" ht="12.75" customHeight="1" x14ac:dyDescent="0.2">
      <c r="A490" s="2" t="s">
        <v>1653</v>
      </c>
      <c r="B490" s="2" t="s">
        <v>1654</v>
      </c>
      <c r="C490" s="2" t="s">
        <v>1655</v>
      </c>
      <c r="D490" s="2" t="s">
        <v>1970</v>
      </c>
      <c r="E490" s="2" t="s">
        <v>3000</v>
      </c>
      <c r="F490" s="2"/>
      <c r="G490" s="2" t="s">
        <v>1555</v>
      </c>
      <c r="H490" s="2" t="s">
        <v>536</v>
      </c>
      <c r="I490" s="2" t="s">
        <v>3116</v>
      </c>
      <c r="J490" s="2" t="s">
        <v>3190</v>
      </c>
      <c r="K490" s="2" t="s">
        <v>1787</v>
      </c>
      <c r="L490" s="2" t="s">
        <v>41</v>
      </c>
      <c r="M490" s="7" t="s">
        <v>1634</v>
      </c>
      <c r="N490" s="2"/>
      <c r="O490" s="2"/>
      <c r="P490" s="2" t="s">
        <v>3173</v>
      </c>
      <c r="Q490" s="2" t="s">
        <v>3172</v>
      </c>
      <c r="R490" s="2" t="s">
        <v>3158</v>
      </c>
      <c r="S490" s="2" t="s">
        <v>2346</v>
      </c>
      <c r="T490" s="2" t="s">
        <v>2355</v>
      </c>
      <c r="U490" s="2" t="s">
        <v>91</v>
      </c>
      <c r="V490" s="2" t="s">
        <v>2446</v>
      </c>
      <c r="W490" s="2"/>
      <c r="Y490" t="str">
        <f>PROPER(Table1[[#This Row],[Industry]])</f>
        <v>Хорека</v>
      </c>
      <c r="Z490" t="str">
        <f>PROPER(Table1[[#This Row],[Insole]])</f>
        <v>Текстил, Антибактериална Стелка, Ортопедична Стелка,Сменяема Стелка</v>
      </c>
    </row>
    <row r="491" spans="1:26" ht="12.75" customHeight="1" x14ac:dyDescent="0.2">
      <c r="A491" s="2" t="s">
        <v>1612</v>
      </c>
      <c r="B491" s="2" t="s">
        <v>1613</v>
      </c>
      <c r="C491" s="2" t="s">
        <v>1614</v>
      </c>
      <c r="D491" s="2" t="s">
        <v>2083</v>
      </c>
      <c r="E491" s="2" t="s">
        <v>2987</v>
      </c>
      <c r="F491" s="2"/>
      <c r="G491" s="2" t="s">
        <v>1555</v>
      </c>
      <c r="H491" s="2" t="s">
        <v>536</v>
      </c>
      <c r="I491" s="2" t="s">
        <v>3110</v>
      </c>
      <c r="J491" s="2" t="s">
        <v>3190</v>
      </c>
      <c r="K491" s="2" t="s">
        <v>1984</v>
      </c>
      <c r="L491" s="2" t="s">
        <v>41</v>
      </c>
      <c r="M491" s="7" t="s">
        <v>1608</v>
      </c>
      <c r="N491" s="2" t="s">
        <v>3214</v>
      </c>
      <c r="O491" s="2"/>
      <c r="P491" s="2" t="s">
        <v>3182</v>
      </c>
      <c r="Q491" s="2" t="s">
        <v>3172</v>
      </c>
      <c r="R491" s="2" t="s">
        <v>3158</v>
      </c>
      <c r="S491" s="2" t="s">
        <v>2346</v>
      </c>
      <c r="T491" s="2" t="s">
        <v>2355</v>
      </c>
      <c r="U491" s="2" t="s">
        <v>91</v>
      </c>
      <c r="V491" s="2" t="s">
        <v>2431</v>
      </c>
      <c r="W491" s="2"/>
      <c r="Y491" t="str">
        <f>PROPER(Table1[[#This Row],[Industry]])</f>
        <v>Гастрономия / Кухня</v>
      </c>
      <c r="Z491" t="str">
        <f>PROPER(Table1[[#This Row],[Insole]])</f>
        <v>Текстил, Антибактериална Стелка, Ортопедична Стелка,Сменяема Стелка</v>
      </c>
    </row>
    <row r="492" spans="1:26" ht="12.75" customHeight="1" x14ac:dyDescent="0.2">
      <c r="A492" s="2" t="s">
        <v>1605</v>
      </c>
      <c r="B492" s="2" t="s">
        <v>1606</v>
      </c>
      <c r="C492" s="2" t="s">
        <v>1607</v>
      </c>
      <c r="D492" s="2" t="s">
        <v>1962</v>
      </c>
      <c r="E492" s="2" t="s">
        <v>2985</v>
      </c>
      <c r="F492" s="2"/>
      <c r="G492" s="2" t="s">
        <v>1555</v>
      </c>
      <c r="H492" s="2" t="s">
        <v>536</v>
      </c>
      <c r="I492" s="2" t="s">
        <v>3116</v>
      </c>
      <c r="J492" s="2" t="s">
        <v>3190</v>
      </c>
      <c r="K492" s="2" t="s">
        <v>1787</v>
      </c>
      <c r="L492" s="2" t="s">
        <v>41</v>
      </c>
      <c r="M492" s="7" t="s">
        <v>1608</v>
      </c>
      <c r="N492" s="2"/>
      <c r="O492" s="2"/>
      <c r="P492" s="2" t="s">
        <v>3182</v>
      </c>
      <c r="Q492" s="2" t="s">
        <v>3172</v>
      </c>
      <c r="R492" s="2" t="s">
        <v>3158</v>
      </c>
      <c r="S492" s="2" t="s">
        <v>2346</v>
      </c>
      <c r="T492" s="2" t="s">
        <v>2355</v>
      </c>
      <c r="U492" s="2" t="s">
        <v>91</v>
      </c>
      <c r="V492" s="2" t="s">
        <v>2435</v>
      </c>
      <c r="W492" s="2"/>
      <c r="Y492" t="str">
        <f>PROPER(Table1[[#This Row],[Industry]])</f>
        <v>Хорека</v>
      </c>
      <c r="Z492" t="str">
        <f>PROPER(Table1[[#This Row],[Insole]])</f>
        <v>Текстил, Антибактериална Стелка, Ортопедична Стелка,Сменяема Стелка</v>
      </c>
    </row>
    <row r="493" spans="1:26" ht="12.75" customHeight="1" x14ac:dyDescent="0.2">
      <c r="A493" s="2" t="s">
        <v>1659</v>
      </c>
      <c r="B493" s="2" t="s">
        <v>1660</v>
      </c>
      <c r="C493" s="2" t="s">
        <v>1661</v>
      </c>
      <c r="D493" s="2" t="s">
        <v>2249</v>
      </c>
      <c r="E493" s="2" t="s">
        <v>3002</v>
      </c>
      <c r="F493" s="2"/>
      <c r="G493" s="2" t="s">
        <v>1555</v>
      </c>
      <c r="H493" s="2" t="s">
        <v>536</v>
      </c>
      <c r="I493" s="2" t="s">
        <v>3107</v>
      </c>
      <c r="J493" s="2" t="s">
        <v>3190</v>
      </c>
      <c r="K493" s="2" t="s">
        <v>2241</v>
      </c>
      <c r="L493" s="2" t="s">
        <v>41</v>
      </c>
      <c r="M493" s="7" t="s">
        <v>1634</v>
      </c>
      <c r="N493" s="2"/>
      <c r="O493" s="2"/>
      <c r="P493" s="2" t="s">
        <v>3162</v>
      </c>
      <c r="Q493" s="2" t="s">
        <v>3172</v>
      </c>
      <c r="R493" s="2" t="s">
        <v>3158</v>
      </c>
      <c r="S493" s="2" t="s">
        <v>2346</v>
      </c>
      <c r="T493" s="2" t="s">
        <v>2355</v>
      </c>
      <c r="U493" s="2" t="s">
        <v>91</v>
      </c>
      <c r="V493" s="2" t="s">
        <v>2449</v>
      </c>
      <c r="W493" s="2"/>
      <c r="Y493" t="str">
        <f>PROPER(Table1[[#This Row],[Industry]])</f>
        <v>Болничен Персонал, Фармацевтика</v>
      </c>
      <c r="Z493" t="str">
        <f>PROPER(Table1[[#This Row],[Insole]])</f>
        <v>Текстил, Антибактериална Стелка, Ортопедична Стелка,Сменяема Стелка</v>
      </c>
    </row>
    <row r="494" spans="1:26" ht="12.75" customHeight="1" x14ac:dyDescent="0.2">
      <c r="A494" s="2" t="s">
        <v>1662</v>
      </c>
      <c r="B494" s="2" t="s">
        <v>1663</v>
      </c>
      <c r="C494" s="2" t="s">
        <v>1664</v>
      </c>
      <c r="D494" s="2" t="s">
        <v>2250</v>
      </c>
      <c r="E494" s="2" t="s">
        <v>3003</v>
      </c>
      <c r="F494" s="2"/>
      <c r="G494" s="2" t="s">
        <v>1555</v>
      </c>
      <c r="H494" s="2" t="s">
        <v>536</v>
      </c>
      <c r="I494" s="2" t="s">
        <v>3107</v>
      </c>
      <c r="J494" s="2" t="s">
        <v>3190</v>
      </c>
      <c r="K494" s="2" t="s">
        <v>2241</v>
      </c>
      <c r="L494" s="2" t="s">
        <v>41</v>
      </c>
      <c r="M494" s="7" t="s">
        <v>1634</v>
      </c>
      <c r="N494" s="2"/>
      <c r="O494" s="2"/>
      <c r="P494" s="2" t="s">
        <v>3162</v>
      </c>
      <c r="Q494" s="2" t="s">
        <v>3172</v>
      </c>
      <c r="R494" s="2" t="s">
        <v>3158</v>
      </c>
      <c r="S494" s="2" t="s">
        <v>2346</v>
      </c>
      <c r="T494" s="2" t="s">
        <v>2355</v>
      </c>
      <c r="U494" s="2" t="s">
        <v>818</v>
      </c>
      <c r="V494" s="2" t="s">
        <v>2449</v>
      </c>
      <c r="W494" s="2"/>
      <c r="Y494" t="str">
        <f>PROPER(Table1[[#This Row],[Industry]])</f>
        <v>Болничен Персонал, Фармацевтика</v>
      </c>
      <c r="Z494" t="str">
        <f>PROPER(Table1[[#This Row],[Insole]])</f>
        <v>Текстил, Антибактериална Стелка, Ортопедична Стелка,Сменяема Стелка</v>
      </c>
    </row>
    <row r="495" spans="1:26" ht="12.75" customHeight="1" x14ac:dyDescent="0.2">
      <c r="A495" s="2" t="s">
        <v>1754</v>
      </c>
      <c r="B495" s="2" t="s">
        <v>1755</v>
      </c>
      <c r="C495" s="2" t="s">
        <v>1756</v>
      </c>
      <c r="D495" s="2" t="s">
        <v>2175</v>
      </c>
      <c r="E495" s="2" t="s">
        <v>3034</v>
      </c>
      <c r="F495" s="2"/>
      <c r="G495" s="2" t="s">
        <v>1555</v>
      </c>
      <c r="H495" s="2" t="s">
        <v>536</v>
      </c>
      <c r="I495" s="2" t="s">
        <v>3110</v>
      </c>
      <c r="J495" s="2" t="s">
        <v>3191</v>
      </c>
      <c r="K495" s="2" t="s">
        <v>1984</v>
      </c>
      <c r="L495" s="2" t="s">
        <v>41</v>
      </c>
      <c r="M495" s="7" t="s">
        <v>1630</v>
      </c>
      <c r="N495" s="2"/>
      <c r="O495" s="2"/>
      <c r="P495" s="2" t="s">
        <v>3170</v>
      </c>
      <c r="Q495" s="2" t="s">
        <v>3172</v>
      </c>
      <c r="R495" s="2" t="s">
        <v>3158</v>
      </c>
      <c r="S495" s="2" t="s">
        <v>2346</v>
      </c>
      <c r="T495" s="2" t="s">
        <v>2367</v>
      </c>
      <c r="U495" s="2" t="s">
        <v>91</v>
      </c>
      <c r="V495" s="2" t="s">
        <v>2426</v>
      </c>
      <c r="W495" s="2"/>
      <c r="Y495" t="str">
        <f>PROPER(Table1[[#This Row],[Industry]])</f>
        <v>Гастрономия / Кухня</v>
      </c>
      <c r="Z495" t="str">
        <f>PROPER(Table1[[#This Row],[Insole]])</f>
        <v>Текстил, Антибактериална Стелка, Ортопедична Стелка,Сменяема Стелка</v>
      </c>
    </row>
    <row r="496" spans="1:26" ht="12.75" customHeight="1" x14ac:dyDescent="0.2">
      <c r="A496" s="2" t="s">
        <v>1757</v>
      </c>
      <c r="B496" s="2" t="s">
        <v>1758</v>
      </c>
      <c r="C496" s="2" t="s">
        <v>1759</v>
      </c>
      <c r="D496" s="2" t="s">
        <v>2204</v>
      </c>
      <c r="E496" s="2" t="s">
        <v>3035</v>
      </c>
      <c r="F496" s="2"/>
      <c r="G496" s="2" t="s">
        <v>1555</v>
      </c>
      <c r="H496" s="2" t="s">
        <v>536</v>
      </c>
      <c r="I496" s="2" t="s">
        <v>3110</v>
      </c>
      <c r="J496" s="2" t="s">
        <v>3191</v>
      </c>
      <c r="K496" s="2" t="s">
        <v>1787</v>
      </c>
      <c r="L496" s="2" t="s">
        <v>41</v>
      </c>
      <c r="M496" s="7" t="s">
        <v>1630</v>
      </c>
      <c r="N496" s="2"/>
      <c r="O496" s="2"/>
      <c r="P496" s="2" t="s">
        <v>3170</v>
      </c>
      <c r="Q496" s="2" t="s">
        <v>3172</v>
      </c>
      <c r="R496" s="2" t="s">
        <v>3158</v>
      </c>
      <c r="S496" s="2" t="s">
        <v>2346</v>
      </c>
      <c r="T496" s="2" t="s">
        <v>2367</v>
      </c>
      <c r="U496" s="2" t="s">
        <v>91</v>
      </c>
      <c r="V496" s="2" t="s">
        <v>2426</v>
      </c>
      <c r="W496" s="2"/>
      <c r="Y496" t="str">
        <f>PROPER(Table1[[#This Row],[Industry]])</f>
        <v>Гастрономия / Кухня</v>
      </c>
      <c r="Z496" t="str">
        <f>PROPER(Table1[[#This Row],[Insole]])</f>
        <v>Текстил, Антибактериална Стелка, Ортопедична Стелка,Сменяема Стелка</v>
      </c>
    </row>
    <row r="497" spans="1:26" ht="12.75" customHeight="1" x14ac:dyDescent="0.2">
      <c r="A497" s="2" t="s">
        <v>1627</v>
      </c>
      <c r="B497" s="2" t="s">
        <v>1628</v>
      </c>
      <c r="C497" s="2" t="s">
        <v>1629</v>
      </c>
      <c r="D497" s="2" t="s">
        <v>2086</v>
      </c>
      <c r="E497" s="2" t="s">
        <v>2992</v>
      </c>
      <c r="F497" s="2"/>
      <c r="G497" s="2" t="s">
        <v>1555</v>
      </c>
      <c r="H497" s="2" t="s">
        <v>536</v>
      </c>
      <c r="I497" s="2" t="s">
        <v>3114</v>
      </c>
      <c r="J497" s="2" t="s">
        <v>3192</v>
      </c>
      <c r="K497" s="2" t="s">
        <v>1984</v>
      </c>
      <c r="L497" s="2" t="s">
        <v>41</v>
      </c>
      <c r="M497" s="7" t="s">
        <v>1630</v>
      </c>
      <c r="N497" s="2"/>
      <c r="O497" s="2"/>
      <c r="P497" s="2" t="s">
        <v>3170</v>
      </c>
      <c r="Q497" s="2" t="s">
        <v>3172</v>
      </c>
      <c r="R497" s="2" t="s">
        <v>3158</v>
      </c>
      <c r="S497" s="2" t="s">
        <v>2346</v>
      </c>
      <c r="T497" s="2" t="s">
        <v>2361</v>
      </c>
      <c r="U497" s="2" t="s">
        <v>91</v>
      </c>
      <c r="V497" s="2" t="s">
        <v>2446</v>
      </c>
      <c r="W497" s="2"/>
      <c r="Y497" t="str">
        <f>PROPER(Table1[[#This Row],[Industry]])</f>
        <v>Болничен Персонал</v>
      </c>
      <c r="Z497" t="str">
        <f>PROPER(Table1[[#This Row],[Insole]])</f>
        <v>Текстил, Антибактериална Стелка, Ортопедична Стелка,Сменяема Стелка</v>
      </c>
    </row>
    <row r="498" spans="1:26" ht="12.75" customHeight="1" x14ac:dyDescent="0.2">
      <c r="A498" s="2" t="s">
        <v>1736</v>
      </c>
      <c r="B498" s="2" t="s">
        <v>1737</v>
      </c>
      <c r="C498" s="2" t="s">
        <v>1738</v>
      </c>
      <c r="D498" s="2" t="s">
        <v>2098</v>
      </c>
      <c r="E498" s="2" t="s">
        <v>3028</v>
      </c>
      <c r="F498" s="2"/>
      <c r="G498" s="2" t="s">
        <v>1555</v>
      </c>
      <c r="H498" s="2" t="s">
        <v>536</v>
      </c>
      <c r="I498" s="2" t="s">
        <v>3116</v>
      </c>
      <c r="J498" s="2" t="s">
        <v>3192</v>
      </c>
      <c r="K498" s="2" t="s">
        <v>1984</v>
      </c>
      <c r="L498" s="2" t="s">
        <v>41</v>
      </c>
      <c r="M498" s="7" t="s">
        <v>1630</v>
      </c>
      <c r="N498" s="2"/>
      <c r="O498" s="2"/>
      <c r="P498" s="2" t="s">
        <v>3170</v>
      </c>
      <c r="Q498" s="2" t="s">
        <v>3172</v>
      </c>
      <c r="R498" s="2" t="s">
        <v>3158</v>
      </c>
      <c r="S498" s="2" t="s">
        <v>2346</v>
      </c>
      <c r="T498" s="2" t="s">
        <v>2361</v>
      </c>
      <c r="U498" s="2" t="s">
        <v>91</v>
      </c>
      <c r="V498" s="2" t="s">
        <v>2447</v>
      </c>
      <c r="W498" s="2"/>
      <c r="Y498" t="str">
        <f>PROPER(Table1[[#This Row],[Industry]])</f>
        <v>Хорека</v>
      </c>
      <c r="Z498" t="str">
        <f>PROPER(Table1[[#This Row],[Insole]])</f>
        <v>Текстил, Антибактериална Стелка, Ортопедична Стелка,Сменяема Стелка</v>
      </c>
    </row>
    <row r="499" spans="1:26" ht="12.75" customHeight="1" x14ac:dyDescent="0.2">
      <c r="A499" s="2" t="s">
        <v>1739</v>
      </c>
      <c r="B499" s="2" t="s">
        <v>1740</v>
      </c>
      <c r="C499" s="2" t="s">
        <v>1741</v>
      </c>
      <c r="D499" s="2" t="s">
        <v>2099</v>
      </c>
      <c r="E499" s="2" t="s">
        <v>3029</v>
      </c>
      <c r="F499" s="2"/>
      <c r="G499" s="2" t="s">
        <v>1555</v>
      </c>
      <c r="H499" s="2" t="s">
        <v>536</v>
      </c>
      <c r="I499" s="2" t="s">
        <v>3116</v>
      </c>
      <c r="J499" s="2" t="s">
        <v>3192</v>
      </c>
      <c r="K499" s="2" t="s">
        <v>1984</v>
      </c>
      <c r="L499" s="2" t="s">
        <v>41</v>
      </c>
      <c r="M499" s="7" t="s">
        <v>1634</v>
      </c>
      <c r="N499" s="2"/>
      <c r="O499" s="2"/>
      <c r="P499" s="2" t="s">
        <v>3170</v>
      </c>
      <c r="Q499" s="2" t="s">
        <v>3172</v>
      </c>
      <c r="R499" s="2" t="s">
        <v>3158</v>
      </c>
      <c r="S499" s="2" t="s">
        <v>2346</v>
      </c>
      <c r="T499" s="2" t="s">
        <v>2361</v>
      </c>
      <c r="U499" s="2" t="s">
        <v>91</v>
      </c>
      <c r="V499" s="2" t="s">
        <v>2435</v>
      </c>
      <c r="W499" s="2"/>
      <c r="Y499" t="str">
        <f>PROPER(Table1[[#This Row],[Industry]])</f>
        <v>Хорека</v>
      </c>
      <c r="Z499" t="str">
        <f>PROPER(Table1[[#This Row],[Insole]])</f>
        <v>Текстил, Антибактериална Стелка, Ортопедична Стелка,Сменяема Стелка</v>
      </c>
    </row>
    <row r="500" spans="1:26" ht="12.75" customHeight="1" x14ac:dyDescent="0.2">
      <c r="A500" s="2" t="s">
        <v>1641</v>
      </c>
      <c r="B500" s="2" t="s">
        <v>1642</v>
      </c>
      <c r="C500" s="2" t="s">
        <v>1643</v>
      </c>
      <c r="D500" s="2" t="s">
        <v>1966</v>
      </c>
      <c r="E500" s="2" t="s">
        <v>2996</v>
      </c>
      <c r="F500" s="2"/>
      <c r="G500" s="2" t="s">
        <v>1555</v>
      </c>
      <c r="H500" s="2" t="s">
        <v>536</v>
      </c>
      <c r="I500" s="2" t="s">
        <v>3114</v>
      </c>
      <c r="J500" s="2" t="s">
        <v>3192</v>
      </c>
      <c r="K500" s="2" t="s">
        <v>1787</v>
      </c>
      <c r="L500" s="2" t="s">
        <v>41</v>
      </c>
      <c r="M500" s="7" t="s">
        <v>1630</v>
      </c>
      <c r="N500" s="2"/>
      <c r="O500" s="2"/>
      <c r="P500" s="2" t="s">
        <v>3170</v>
      </c>
      <c r="Q500" s="2" t="s">
        <v>3172</v>
      </c>
      <c r="R500" s="2" t="s">
        <v>3158</v>
      </c>
      <c r="S500" s="2" t="s">
        <v>2346</v>
      </c>
      <c r="T500" s="2" t="s">
        <v>2361</v>
      </c>
      <c r="U500" s="2" t="s">
        <v>91</v>
      </c>
      <c r="V500" s="2" t="s">
        <v>2446</v>
      </c>
      <c r="W500" s="2"/>
      <c r="Y500" t="str">
        <f>PROPER(Table1[[#This Row],[Industry]])</f>
        <v>Болничен Персонал</v>
      </c>
      <c r="Z500" t="str">
        <f>PROPER(Table1[[#This Row],[Insole]])</f>
        <v>Текстил, Антибактериална Стелка, Ортопедична Стелка,Сменяема Стелка</v>
      </c>
    </row>
    <row r="501" spans="1:26" ht="12.75" customHeight="1" x14ac:dyDescent="0.2">
      <c r="A501" s="2" t="s">
        <v>1748</v>
      </c>
      <c r="B501" s="2" t="s">
        <v>1749</v>
      </c>
      <c r="C501" s="2" t="s">
        <v>1750</v>
      </c>
      <c r="D501" s="2" t="s">
        <v>1979</v>
      </c>
      <c r="E501" s="2" t="s">
        <v>3032</v>
      </c>
      <c r="F501" s="2"/>
      <c r="G501" s="2" t="s">
        <v>1555</v>
      </c>
      <c r="H501" s="2" t="s">
        <v>536</v>
      </c>
      <c r="I501" s="2" t="s">
        <v>3116</v>
      </c>
      <c r="J501" s="2" t="s">
        <v>3192</v>
      </c>
      <c r="K501" s="2" t="s">
        <v>1787</v>
      </c>
      <c r="L501" s="2" t="s">
        <v>41</v>
      </c>
      <c r="M501" s="7" t="s">
        <v>1634</v>
      </c>
      <c r="N501" s="2"/>
      <c r="O501" s="2"/>
      <c r="P501" s="2" t="s">
        <v>3170</v>
      </c>
      <c r="Q501" s="2" t="s">
        <v>3172</v>
      </c>
      <c r="R501" s="2" t="s">
        <v>3158</v>
      </c>
      <c r="S501" s="2" t="s">
        <v>2346</v>
      </c>
      <c r="T501" s="2" t="s">
        <v>2361</v>
      </c>
      <c r="U501" s="2" t="s">
        <v>91</v>
      </c>
      <c r="V501" s="2" t="s">
        <v>2426</v>
      </c>
      <c r="W501" s="2"/>
      <c r="Y501" t="str">
        <f>PROPER(Table1[[#This Row],[Industry]])</f>
        <v>Хорека</v>
      </c>
      <c r="Z501" t="str">
        <f>PROPER(Table1[[#This Row],[Insole]])</f>
        <v>Текстил, Антибактериална Стелка, Ортопедична Стелка,Сменяема Стелка</v>
      </c>
    </row>
    <row r="502" spans="1:26" ht="12.75" customHeight="1" x14ac:dyDescent="0.2">
      <c r="A502" s="2" t="s">
        <v>1631</v>
      </c>
      <c r="B502" s="2" t="s">
        <v>1632</v>
      </c>
      <c r="C502" s="2" t="s">
        <v>1633</v>
      </c>
      <c r="D502" s="2" t="s">
        <v>2087</v>
      </c>
      <c r="E502" s="2" t="s">
        <v>2993</v>
      </c>
      <c r="F502" s="2"/>
      <c r="G502" s="2" t="s">
        <v>1555</v>
      </c>
      <c r="H502" s="2" t="s">
        <v>536</v>
      </c>
      <c r="I502" s="2" t="s">
        <v>3116</v>
      </c>
      <c r="J502" s="2" t="s">
        <v>3192</v>
      </c>
      <c r="K502" s="2" t="s">
        <v>1984</v>
      </c>
      <c r="L502" s="2" t="s">
        <v>41</v>
      </c>
      <c r="M502" s="7" t="s">
        <v>1634</v>
      </c>
      <c r="N502" s="2"/>
      <c r="O502" s="2"/>
      <c r="P502" s="2" t="s">
        <v>3171</v>
      </c>
      <c r="Q502" s="2" t="s">
        <v>3172</v>
      </c>
      <c r="R502" s="2" t="s">
        <v>3158</v>
      </c>
      <c r="S502" s="2" t="s">
        <v>2346</v>
      </c>
      <c r="T502" s="2" t="s">
        <v>2361</v>
      </c>
      <c r="U502" s="2" t="s">
        <v>91</v>
      </c>
      <c r="V502" s="2" t="s">
        <v>2447</v>
      </c>
      <c r="W502" s="2"/>
      <c r="Y502" t="str">
        <f>PROPER(Table1[[#This Row],[Industry]])</f>
        <v>Хорека</v>
      </c>
      <c r="Z502" t="str">
        <f>PROPER(Table1[[#This Row],[Insole]])</f>
        <v>Текстил, Антибактериална Стелка, Ортопедична Стелка,Сменяема Стелка</v>
      </c>
    </row>
    <row r="503" spans="1:26" ht="12.75" customHeight="1" x14ac:dyDescent="0.2">
      <c r="A503" s="2" t="s">
        <v>405</v>
      </c>
      <c r="B503" s="2" t="s">
        <v>406</v>
      </c>
      <c r="C503" s="2" t="s">
        <v>407</v>
      </c>
      <c r="D503" s="2" t="s">
        <v>1840</v>
      </c>
      <c r="E503" s="2" t="s">
        <v>2616</v>
      </c>
      <c r="F503" s="6" t="s">
        <v>3060</v>
      </c>
      <c r="G503" s="2" t="s">
        <v>408</v>
      </c>
      <c r="H503" s="2" t="s">
        <v>35</v>
      </c>
      <c r="I503" s="2" t="s">
        <v>3132</v>
      </c>
      <c r="J503" s="2" t="s">
        <v>1783</v>
      </c>
      <c r="K503" s="2" t="s">
        <v>1787</v>
      </c>
      <c r="L503" s="2" t="s">
        <v>409</v>
      </c>
      <c r="M503" s="7" t="s">
        <v>410</v>
      </c>
      <c r="N503" s="2" t="s">
        <v>3256</v>
      </c>
      <c r="O503" s="2" t="s">
        <v>411</v>
      </c>
      <c r="P503" s="2" t="s">
        <v>3185</v>
      </c>
      <c r="Q503" s="2" t="s">
        <v>3177</v>
      </c>
      <c r="R503" s="2" t="s">
        <v>3155</v>
      </c>
      <c r="S503" s="2" t="s">
        <v>3090</v>
      </c>
      <c r="T503" s="2" t="s">
        <v>2358</v>
      </c>
      <c r="U503" s="2" t="s">
        <v>208</v>
      </c>
      <c r="V503" s="2" t="s">
        <v>2414</v>
      </c>
      <c r="W503" s="2" t="s">
        <v>208</v>
      </c>
      <c r="Y503" t="str">
        <f>PROPER(Table1[[#This Row],[Industry]])</f>
        <v>Пожарникари И Спасители</v>
      </c>
      <c r="Z503" t="str">
        <f>PROPER(Table1[[#This Row],[Insole]])</f>
        <v>Текстил,Сменяема Стелка</v>
      </c>
    </row>
    <row r="504" spans="1:26" ht="12.75" customHeight="1" x14ac:dyDescent="0.2">
      <c r="A504" s="2" t="s">
        <v>906</v>
      </c>
      <c r="B504" s="2" t="s">
        <v>907</v>
      </c>
      <c r="C504" s="4" t="s">
        <v>2498</v>
      </c>
      <c r="D504" s="2" t="s">
        <v>2299</v>
      </c>
      <c r="E504" s="2" t="s">
        <v>2760</v>
      </c>
      <c r="F504" s="2"/>
      <c r="G504" s="2" t="s">
        <v>3189</v>
      </c>
      <c r="H504" s="2" t="s">
        <v>536</v>
      </c>
      <c r="I504" s="2" t="s">
        <v>3107</v>
      </c>
      <c r="J504" s="2" t="s">
        <v>3191</v>
      </c>
      <c r="K504" s="2" t="s">
        <v>1984</v>
      </c>
      <c r="L504" s="2" t="s">
        <v>41</v>
      </c>
      <c r="M504" s="7" t="s">
        <v>908</v>
      </c>
      <c r="N504" s="2"/>
      <c r="O504" s="2"/>
      <c r="P504" s="2" t="s">
        <v>3170</v>
      </c>
      <c r="Q504" s="2" t="s">
        <v>3162</v>
      </c>
      <c r="R504" s="2" t="s">
        <v>3160</v>
      </c>
      <c r="S504" s="2" t="s">
        <v>2354</v>
      </c>
      <c r="T504" s="2" t="s">
        <v>2367</v>
      </c>
      <c r="U504" s="2" t="s">
        <v>557</v>
      </c>
      <c r="V504" s="2" t="s">
        <v>2451</v>
      </c>
      <c r="W504" s="2"/>
      <c r="Y504" t="str">
        <f>PROPER(Table1[[#This Row],[Industry]])</f>
        <v>Болничен Персонал, Фармацевтика</v>
      </c>
      <c r="Z504" t="str">
        <f>PROPER(Table1[[#This Row],[Insole]])</f>
        <v>Кожа/Текстил, Интегрирана Стелка</v>
      </c>
    </row>
    <row r="505" spans="1:26" ht="12.75" customHeight="1" x14ac:dyDescent="0.2">
      <c r="A505" s="2" t="s">
        <v>909</v>
      </c>
      <c r="B505" s="2" t="s">
        <v>910</v>
      </c>
      <c r="C505" s="4" t="s">
        <v>2499</v>
      </c>
      <c r="D505" s="2" t="s">
        <v>2300</v>
      </c>
      <c r="E505" s="2" t="s">
        <v>2761</v>
      </c>
      <c r="F505" s="2"/>
      <c r="G505" s="2" t="s">
        <v>3189</v>
      </c>
      <c r="H505" s="2" t="s">
        <v>536</v>
      </c>
      <c r="I505" s="2" t="s">
        <v>3107</v>
      </c>
      <c r="J505" s="2" t="s">
        <v>3191</v>
      </c>
      <c r="K505" s="2" t="s">
        <v>1984</v>
      </c>
      <c r="L505" s="2" t="s">
        <v>41</v>
      </c>
      <c r="M505" s="7" t="s">
        <v>908</v>
      </c>
      <c r="N505" s="2"/>
      <c r="O505" s="2"/>
      <c r="P505" s="2" t="s">
        <v>3170</v>
      </c>
      <c r="Q505" s="2" t="s">
        <v>3162</v>
      </c>
      <c r="R505" s="2" t="s">
        <v>3160</v>
      </c>
      <c r="S505" s="2" t="s">
        <v>2354</v>
      </c>
      <c r="T505" s="2" t="s">
        <v>2367</v>
      </c>
      <c r="U505" s="2" t="s">
        <v>557</v>
      </c>
      <c r="V505" s="2" t="s">
        <v>2451</v>
      </c>
      <c r="W505" s="2"/>
      <c r="Y505" t="str">
        <f>PROPER(Table1[[#This Row],[Industry]])</f>
        <v>Болничен Персонал, Фармацевтика</v>
      </c>
      <c r="Z505" t="str">
        <f>PROPER(Table1[[#This Row],[Insole]])</f>
        <v>Кожа/Текстил, Интегрирана Стелка</v>
      </c>
    </row>
    <row r="506" spans="1:26" ht="12.75" customHeight="1" x14ac:dyDescent="0.2">
      <c r="A506" s="2" t="s">
        <v>911</v>
      </c>
      <c r="B506" s="2" t="s">
        <v>912</v>
      </c>
      <c r="C506" s="4" t="s">
        <v>2500</v>
      </c>
      <c r="D506" s="2" t="s">
        <v>2301</v>
      </c>
      <c r="E506" s="2" t="s">
        <v>2762</v>
      </c>
      <c r="F506" s="2"/>
      <c r="G506" s="2" t="s">
        <v>3189</v>
      </c>
      <c r="H506" s="2" t="s">
        <v>536</v>
      </c>
      <c r="I506" s="2" t="s">
        <v>3107</v>
      </c>
      <c r="J506" s="2" t="s">
        <v>3191</v>
      </c>
      <c r="K506" s="2" t="s">
        <v>1984</v>
      </c>
      <c r="L506" s="2" t="s">
        <v>41</v>
      </c>
      <c r="M506" s="7" t="s">
        <v>908</v>
      </c>
      <c r="N506" s="2"/>
      <c r="O506" s="2"/>
      <c r="P506" s="2" t="s">
        <v>3170</v>
      </c>
      <c r="Q506" s="2" t="s">
        <v>3162</v>
      </c>
      <c r="R506" s="2" t="s">
        <v>3160</v>
      </c>
      <c r="S506" s="2" t="s">
        <v>2354</v>
      </c>
      <c r="T506" s="2" t="s">
        <v>2367</v>
      </c>
      <c r="U506" s="2" t="s">
        <v>557</v>
      </c>
      <c r="V506" s="2" t="s">
        <v>2451</v>
      </c>
      <c r="W506" s="2"/>
      <c r="Y506" t="str">
        <f>PROPER(Table1[[#This Row],[Industry]])</f>
        <v>Болничен Персонал, Фармацевтика</v>
      </c>
      <c r="Z506" t="str">
        <f>PROPER(Table1[[#This Row],[Insole]])</f>
        <v>Кожа/Текстил, Интегрирана Стелка</v>
      </c>
    </row>
    <row r="507" spans="1:26" ht="12.75" customHeight="1" x14ac:dyDescent="0.2">
      <c r="A507" s="2" t="s">
        <v>913</v>
      </c>
      <c r="B507" s="2" t="s">
        <v>914</v>
      </c>
      <c r="C507" s="4" t="s">
        <v>2501</v>
      </c>
      <c r="D507" s="2" t="s">
        <v>2302</v>
      </c>
      <c r="E507" s="2" t="s">
        <v>2763</v>
      </c>
      <c r="F507" s="2"/>
      <c r="G507" s="2" t="s">
        <v>3189</v>
      </c>
      <c r="H507" s="2" t="s">
        <v>536</v>
      </c>
      <c r="I507" s="2" t="s">
        <v>3107</v>
      </c>
      <c r="J507" s="2" t="s">
        <v>3191</v>
      </c>
      <c r="K507" s="2" t="s">
        <v>1787</v>
      </c>
      <c r="L507" s="2" t="s">
        <v>41</v>
      </c>
      <c r="M507" s="7" t="s">
        <v>908</v>
      </c>
      <c r="N507" s="2"/>
      <c r="O507" s="2"/>
      <c r="P507" s="2" t="s">
        <v>3170</v>
      </c>
      <c r="Q507" s="2" t="s">
        <v>3162</v>
      </c>
      <c r="R507" s="2" t="s">
        <v>3160</v>
      </c>
      <c r="S507" s="2" t="s">
        <v>2354</v>
      </c>
      <c r="T507" s="2" t="s">
        <v>2367</v>
      </c>
      <c r="U507" s="2" t="s">
        <v>557</v>
      </c>
      <c r="V507" s="2" t="s">
        <v>2451</v>
      </c>
      <c r="W507" s="2"/>
      <c r="Y507" t="str">
        <f>PROPER(Table1[[#This Row],[Industry]])</f>
        <v>Болничен Персонал, Фармацевтика</v>
      </c>
      <c r="Z507" t="str">
        <f>PROPER(Table1[[#This Row],[Insole]])</f>
        <v>Кожа/Текстил, Интегрирана Стелка</v>
      </c>
    </row>
    <row r="508" spans="1:26" ht="12.75" customHeight="1" x14ac:dyDescent="0.2">
      <c r="A508" s="2" t="s">
        <v>22</v>
      </c>
      <c r="B508" s="2" t="s">
        <v>23</v>
      </c>
      <c r="C508" s="2" t="s">
        <v>1772</v>
      </c>
      <c r="D508" s="2" t="s">
        <v>1778</v>
      </c>
      <c r="E508" s="2"/>
      <c r="F508" s="6"/>
      <c r="G508" s="2" t="s">
        <v>3154</v>
      </c>
      <c r="H508" s="2" t="s">
        <v>3154</v>
      </c>
      <c r="I508" s="2" t="s">
        <v>3124</v>
      </c>
      <c r="J508" s="2" t="s">
        <v>3154</v>
      </c>
      <c r="K508" s="2" t="s">
        <v>1984</v>
      </c>
      <c r="L508" s="2" t="s">
        <v>3154</v>
      </c>
      <c r="M508" s="7" t="s">
        <v>3195</v>
      </c>
      <c r="N508" s="2"/>
      <c r="O508" s="3" t="s">
        <v>2344</v>
      </c>
      <c r="P508" s="2" t="s">
        <v>3154</v>
      </c>
      <c r="Q508" s="2" t="s">
        <v>3124</v>
      </c>
      <c r="R508" s="2" t="s">
        <v>3124</v>
      </c>
      <c r="S508" s="2"/>
      <c r="T508" s="2"/>
      <c r="U508" s="2" t="s">
        <v>2486</v>
      </c>
      <c r="V508" s="2"/>
      <c r="W508" s="2"/>
      <c r="Y508" t="str">
        <f>PROPER(Table1[[#This Row],[Industry]])</f>
        <v/>
      </c>
      <c r="Z508" t="str">
        <f>PROPER(Table1[[#This Row],[Insole]])</f>
        <v/>
      </c>
    </row>
    <row r="509" spans="1:26" ht="12.75" customHeight="1" x14ac:dyDescent="0.2">
      <c r="A509" s="2" t="s">
        <v>26</v>
      </c>
      <c r="B509" s="2" t="s">
        <v>27</v>
      </c>
      <c r="C509" s="2" t="s">
        <v>1774</v>
      </c>
      <c r="D509" s="2" t="s">
        <v>1780</v>
      </c>
      <c r="E509" s="2"/>
      <c r="F509" s="2"/>
      <c r="G509" s="2" t="s">
        <v>3154</v>
      </c>
      <c r="H509" s="2" t="s">
        <v>3154</v>
      </c>
      <c r="I509" s="2" t="s">
        <v>3124</v>
      </c>
      <c r="J509" s="2" t="s">
        <v>3154</v>
      </c>
      <c r="K509" s="2" t="s">
        <v>1984</v>
      </c>
      <c r="L509" s="2" t="s">
        <v>3154</v>
      </c>
      <c r="M509" s="7" t="s">
        <v>3195</v>
      </c>
      <c r="N509" s="2"/>
      <c r="O509" s="3" t="s">
        <v>2345</v>
      </c>
      <c r="P509" s="2" t="s">
        <v>3154</v>
      </c>
      <c r="Q509" s="2" t="s">
        <v>3124</v>
      </c>
      <c r="R509" s="2" t="s">
        <v>3124</v>
      </c>
      <c r="S509" s="2"/>
      <c r="T509" s="2"/>
      <c r="U509" s="2" t="s">
        <v>2486</v>
      </c>
      <c r="V509" s="2"/>
      <c r="W509" s="2"/>
      <c r="Y509" t="str">
        <f>PROPER(Table1[[#This Row],[Industry]])</f>
        <v/>
      </c>
      <c r="Z509" t="str">
        <f>PROPER(Table1[[#This Row],[Insole]])</f>
        <v/>
      </c>
    </row>
    <row r="510" spans="1:26" ht="12.75" customHeight="1" x14ac:dyDescent="0.2">
      <c r="A510" s="2" t="s">
        <v>24</v>
      </c>
      <c r="B510" s="2" t="s">
        <v>25</v>
      </c>
      <c r="C510" s="2" t="s">
        <v>1773</v>
      </c>
      <c r="D510" s="2" t="s">
        <v>1779</v>
      </c>
      <c r="E510" s="2"/>
      <c r="F510" s="2"/>
      <c r="G510" s="2" t="s">
        <v>3154</v>
      </c>
      <c r="H510" s="2" t="s">
        <v>3154</v>
      </c>
      <c r="I510" s="2" t="s">
        <v>3124</v>
      </c>
      <c r="J510" s="2" t="s">
        <v>3154</v>
      </c>
      <c r="K510" s="2" t="s">
        <v>1984</v>
      </c>
      <c r="L510" s="2" t="s">
        <v>3154</v>
      </c>
      <c r="M510" s="7" t="s">
        <v>3195</v>
      </c>
      <c r="N510" s="2"/>
      <c r="O510" s="2"/>
      <c r="P510" s="2" t="s">
        <v>3154</v>
      </c>
      <c r="Q510" s="2" t="s">
        <v>3124</v>
      </c>
      <c r="R510" s="2" t="s">
        <v>3124</v>
      </c>
      <c r="S510" s="2"/>
      <c r="T510" s="2"/>
      <c r="U510" s="2" t="s">
        <v>2486</v>
      </c>
      <c r="V510" s="2"/>
      <c r="W510" s="2"/>
      <c r="Y510" t="str">
        <f>PROPER(Table1[[#This Row],[Industry]])</f>
        <v/>
      </c>
      <c r="Z510" t="str">
        <f>PROPER(Table1[[#This Row],[Insole]])</f>
        <v/>
      </c>
    </row>
    <row r="511" spans="1:26" ht="12.75" customHeight="1" x14ac:dyDescent="0.2">
      <c r="A511" s="2" t="s">
        <v>28</v>
      </c>
      <c r="B511" s="2" t="s">
        <v>29</v>
      </c>
      <c r="C511" s="2" t="s">
        <v>1775</v>
      </c>
      <c r="D511" s="2" t="s">
        <v>1781</v>
      </c>
      <c r="E511" s="2"/>
      <c r="F511" s="2"/>
      <c r="G511" s="2" t="s">
        <v>3154</v>
      </c>
      <c r="H511" s="2" t="s">
        <v>3154</v>
      </c>
      <c r="I511" s="2" t="s">
        <v>3124</v>
      </c>
      <c r="J511" s="2" t="s">
        <v>3154</v>
      </c>
      <c r="K511" s="2" t="s">
        <v>1984</v>
      </c>
      <c r="L511" s="2" t="s">
        <v>3154</v>
      </c>
      <c r="M511" s="7" t="s">
        <v>3195</v>
      </c>
      <c r="N511" s="2"/>
      <c r="O511" s="2"/>
      <c r="P511" s="2" t="s">
        <v>3154</v>
      </c>
      <c r="Q511" s="2" t="s">
        <v>3124</v>
      </c>
      <c r="R511" s="2" t="s">
        <v>3124</v>
      </c>
      <c r="S511" s="2"/>
      <c r="T511" s="2"/>
      <c r="U511" s="2" t="s">
        <v>2486</v>
      </c>
      <c r="V511" s="2"/>
      <c r="W511" s="2"/>
      <c r="Y511" t="str">
        <f>PROPER(Table1[[#This Row],[Industry]])</f>
        <v/>
      </c>
      <c r="Z511" t="str">
        <f>PROPER(Table1[[#This Row],[Insole]])</f>
        <v/>
      </c>
    </row>
    <row r="512" spans="1:26" ht="12.75" customHeight="1" x14ac:dyDescent="0.2">
      <c r="A512" s="2" t="s">
        <v>30</v>
      </c>
      <c r="B512" s="2" t="s">
        <v>31</v>
      </c>
      <c r="C512" s="2" t="s">
        <v>1776</v>
      </c>
      <c r="D512" s="2" t="s">
        <v>1782</v>
      </c>
      <c r="E512" s="2"/>
      <c r="F512" s="2"/>
      <c r="G512" s="2" t="s">
        <v>3154</v>
      </c>
      <c r="H512" s="2" t="s">
        <v>3154</v>
      </c>
      <c r="I512" s="2" t="s">
        <v>3124</v>
      </c>
      <c r="J512" s="2" t="s">
        <v>3154</v>
      </c>
      <c r="K512" s="2" t="s">
        <v>1984</v>
      </c>
      <c r="L512" s="2" t="s">
        <v>3154</v>
      </c>
      <c r="M512" s="7" t="s">
        <v>3195</v>
      </c>
      <c r="N512" s="2"/>
      <c r="O512" s="2"/>
      <c r="P512" s="2" t="s">
        <v>3154</v>
      </c>
      <c r="Q512" s="2" t="s">
        <v>3124</v>
      </c>
      <c r="R512" s="2" t="s">
        <v>3124</v>
      </c>
      <c r="S512" s="2"/>
      <c r="T512" s="2"/>
      <c r="U512" s="2" t="s">
        <v>2486</v>
      </c>
      <c r="V512" s="2"/>
      <c r="W512" s="2"/>
      <c r="Y512" t="str">
        <f>PROPER(Table1[[#This Row],[Industry]])</f>
        <v/>
      </c>
      <c r="Z512" t="str">
        <f>PROPER(Table1[[#This Row],[Insole]])</f>
        <v/>
      </c>
    </row>
    <row r="513" spans="1:26" ht="12.75" customHeight="1" x14ac:dyDescent="0.2">
      <c r="A513" s="2" t="s">
        <v>1103</v>
      </c>
      <c r="B513" s="2" t="s">
        <v>1104</v>
      </c>
      <c r="C513" s="4" t="s">
        <v>2493</v>
      </c>
      <c r="D513" s="2" t="s">
        <v>3078</v>
      </c>
      <c r="E513" s="2" t="s">
        <v>2825</v>
      </c>
      <c r="F513" s="2"/>
      <c r="G513" s="2" t="s">
        <v>3187</v>
      </c>
      <c r="H513" s="2" t="s">
        <v>536</v>
      </c>
      <c r="I513" s="2" t="s">
        <v>3107</v>
      </c>
      <c r="J513" s="2" t="s">
        <v>3191</v>
      </c>
      <c r="K513" s="2" t="s">
        <v>1984</v>
      </c>
      <c r="L513" s="2" t="s">
        <v>41</v>
      </c>
      <c r="M513" s="7" t="s">
        <v>1098</v>
      </c>
      <c r="N513" s="2"/>
      <c r="O513" s="2"/>
      <c r="P513" s="2" t="s">
        <v>3170</v>
      </c>
      <c r="Q513" s="2" t="s">
        <v>3162</v>
      </c>
      <c r="R513" s="2" t="s">
        <v>3157</v>
      </c>
      <c r="S513" s="2" t="s">
        <v>2340</v>
      </c>
      <c r="T513" s="2" t="s">
        <v>2367</v>
      </c>
      <c r="U513" s="2" t="s">
        <v>101</v>
      </c>
      <c r="V513" s="2" t="s">
        <v>2412</v>
      </c>
      <c r="W513" s="2"/>
      <c r="Y513" t="str">
        <f>PROPER(Table1[[#This Row],[Industry]])</f>
        <v>Болничен Персонал, Фармацевтика</v>
      </c>
      <c r="Z513" t="str">
        <f>PROPER(Table1[[#This Row],[Insole]])</f>
        <v>Кожа, Интегрирана Стелка</v>
      </c>
    </row>
    <row r="514" spans="1:26" ht="12.75" customHeight="1" x14ac:dyDescent="0.2">
      <c r="A514" s="2" t="s">
        <v>1109</v>
      </c>
      <c r="B514" s="2" t="s">
        <v>1110</v>
      </c>
      <c r="C514" s="4" t="s">
        <v>2496</v>
      </c>
      <c r="D514" s="2" t="s">
        <v>3081</v>
      </c>
      <c r="E514" s="2" t="s">
        <v>2828</v>
      </c>
      <c r="F514" s="2"/>
      <c r="G514" s="2" t="s">
        <v>3187</v>
      </c>
      <c r="H514" s="2" t="s">
        <v>536</v>
      </c>
      <c r="I514" s="2" t="s">
        <v>3107</v>
      </c>
      <c r="J514" s="2" t="s">
        <v>3191</v>
      </c>
      <c r="K514" s="2" t="s">
        <v>1984</v>
      </c>
      <c r="L514" s="2" t="s">
        <v>41</v>
      </c>
      <c r="M514" s="7" t="s">
        <v>1098</v>
      </c>
      <c r="N514" s="2"/>
      <c r="O514" s="2"/>
      <c r="P514" s="2" t="s">
        <v>3170</v>
      </c>
      <c r="Q514" s="2" t="s">
        <v>3162</v>
      </c>
      <c r="R514" s="2" t="s">
        <v>3157</v>
      </c>
      <c r="S514" s="2" t="s">
        <v>2340</v>
      </c>
      <c r="T514" s="2" t="s">
        <v>2367</v>
      </c>
      <c r="U514" s="2" t="s">
        <v>101</v>
      </c>
      <c r="V514" s="2" t="s">
        <v>2444</v>
      </c>
      <c r="W514" s="2"/>
      <c r="Y514" t="str">
        <f>PROPER(Table1[[#This Row],[Industry]])</f>
        <v>Болничен Персонал, Фармацевтика</v>
      </c>
      <c r="Z514" t="str">
        <f>PROPER(Table1[[#This Row],[Insole]])</f>
        <v>Кожа, Интегрирана Стелка</v>
      </c>
    </row>
    <row r="515" spans="1:26" ht="12.75" customHeight="1" x14ac:dyDescent="0.2">
      <c r="A515" s="2" t="s">
        <v>827</v>
      </c>
      <c r="B515" s="2" t="s">
        <v>828</v>
      </c>
      <c r="C515" s="4" t="s">
        <v>2504</v>
      </c>
      <c r="D515" s="2" t="s">
        <v>3085</v>
      </c>
      <c r="E515" s="2" t="s">
        <v>2735</v>
      </c>
      <c r="F515" s="2"/>
      <c r="G515" s="2" t="s">
        <v>3187</v>
      </c>
      <c r="H515" s="2" t="s">
        <v>536</v>
      </c>
      <c r="I515" s="2" t="s">
        <v>3107</v>
      </c>
      <c r="J515" s="2" t="s">
        <v>3191</v>
      </c>
      <c r="K515" s="2" t="s">
        <v>1984</v>
      </c>
      <c r="L515" s="2" t="s">
        <v>41</v>
      </c>
      <c r="M515" s="7" t="s">
        <v>824</v>
      </c>
      <c r="N515" s="2"/>
      <c r="O515" s="2"/>
      <c r="P515" s="2" t="s">
        <v>3170</v>
      </c>
      <c r="Q515" s="2" t="s">
        <v>3162</v>
      </c>
      <c r="R515" s="2" t="s">
        <v>3160</v>
      </c>
      <c r="S515" s="2" t="s">
        <v>2353</v>
      </c>
      <c r="T515" s="2" t="s">
        <v>2367</v>
      </c>
      <c r="U515" s="2" t="s">
        <v>101</v>
      </c>
      <c r="V515" s="2" t="s">
        <v>2412</v>
      </c>
      <c r="W515" s="2"/>
      <c r="Y515" t="str">
        <f>PROPER(Table1[[#This Row],[Industry]])</f>
        <v>Болничен Персонал, Фармацевтика</v>
      </c>
      <c r="Z515" t="str">
        <f>PROPER(Table1[[#This Row],[Insole]])</f>
        <v>Кожа/Текстил, Интегрирана Стелка</v>
      </c>
    </row>
    <row r="516" spans="1:26" ht="12.75" customHeight="1" x14ac:dyDescent="0.2">
      <c r="A516" s="2" t="s">
        <v>831</v>
      </c>
      <c r="B516" s="2" t="s">
        <v>832</v>
      </c>
      <c r="C516" s="4" t="s">
        <v>2506</v>
      </c>
      <c r="D516" s="2" t="s">
        <v>3087</v>
      </c>
      <c r="E516" s="2" t="s">
        <v>2737</v>
      </c>
      <c r="F516" s="2"/>
      <c r="G516" s="2" t="s">
        <v>3187</v>
      </c>
      <c r="H516" s="2" t="s">
        <v>536</v>
      </c>
      <c r="I516" s="2" t="s">
        <v>3107</v>
      </c>
      <c r="J516" s="2" t="s">
        <v>3191</v>
      </c>
      <c r="K516" s="2" t="s">
        <v>1984</v>
      </c>
      <c r="L516" s="2" t="s">
        <v>41</v>
      </c>
      <c r="M516" s="7" t="s">
        <v>824</v>
      </c>
      <c r="N516" s="2"/>
      <c r="O516" s="2"/>
      <c r="P516" s="2" t="s">
        <v>3170</v>
      </c>
      <c r="Q516" s="2" t="s">
        <v>3162</v>
      </c>
      <c r="R516" s="2" t="s">
        <v>3160</v>
      </c>
      <c r="S516" s="2" t="s">
        <v>2353</v>
      </c>
      <c r="T516" s="2" t="s">
        <v>2367</v>
      </c>
      <c r="U516" s="2" t="s">
        <v>101</v>
      </c>
      <c r="V516" s="2" t="s">
        <v>2444</v>
      </c>
      <c r="W516" s="2"/>
      <c r="Y516" t="str">
        <f>PROPER(Table1[[#This Row],[Industry]])</f>
        <v>Болничен Персонал, Фармацевтика</v>
      </c>
      <c r="Z516" t="str">
        <f>PROPER(Table1[[#This Row],[Insole]])</f>
        <v>Кожа/Текстил, Интегрирана Стелка</v>
      </c>
    </row>
    <row r="517" spans="1:26" ht="12.75" customHeight="1" x14ac:dyDescent="0.2">
      <c r="A517" s="2" t="s">
        <v>1105</v>
      </c>
      <c r="B517" s="2" t="s">
        <v>1106</v>
      </c>
      <c r="C517" s="4" t="s">
        <v>2494</v>
      </c>
      <c r="D517" s="2" t="s">
        <v>3079</v>
      </c>
      <c r="E517" s="2" t="s">
        <v>2826</v>
      </c>
      <c r="F517" s="2"/>
      <c r="G517" s="2" t="s">
        <v>3187</v>
      </c>
      <c r="H517" s="2" t="s">
        <v>536</v>
      </c>
      <c r="I517" s="2" t="s">
        <v>3130</v>
      </c>
      <c r="J517" s="2" t="s">
        <v>3191</v>
      </c>
      <c r="K517" s="2" t="s">
        <v>2211</v>
      </c>
      <c r="L517" s="2" t="s">
        <v>41</v>
      </c>
      <c r="M517" s="7" t="s">
        <v>1098</v>
      </c>
      <c r="N517" s="2"/>
      <c r="O517" s="2"/>
      <c r="P517" s="2" t="s">
        <v>3170</v>
      </c>
      <c r="Q517" s="2" t="s">
        <v>3162</v>
      </c>
      <c r="R517" s="2" t="s">
        <v>3157</v>
      </c>
      <c r="S517" s="2" t="s">
        <v>2340</v>
      </c>
      <c r="T517" s="2" t="s">
        <v>2367</v>
      </c>
      <c r="U517" s="2" t="s">
        <v>101</v>
      </c>
      <c r="V517" s="2" t="s">
        <v>2429</v>
      </c>
      <c r="W517" s="2"/>
      <c r="Y517" t="str">
        <f>PROPER(Table1[[#This Row],[Industry]])</f>
        <v>Гастрономия / Кухня, Хорека, Болничен Персонал</v>
      </c>
      <c r="Z517" t="str">
        <f>PROPER(Table1[[#This Row],[Insole]])</f>
        <v>Кожа, Интегрирана Стелка</v>
      </c>
    </row>
    <row r="518" spans="1:26" ht="12.75" customHeight="1" x14ac:dyDescent="0.2">
      <c r="A518" s="2" t="s">
        <v>829</v>
      </c>
      <c r="B518" s="2" t="s">
        <v>830</v>
      </c>
      <c r="C518" s="4" t="s">
        <v>2505</v>
      </c>
      <c r="D518" s="2" t="s">
        <v>3086</v>
      </c>
      <c r="E518" s="2" t="s">
        <v>2736</v>
      </c>
      <c r="F518" s="2"/>
      <c r="G518" s="2" t="s">
        <v>3187</v>
      </c>
      <c r="H518" s="2" t="s">
        <v>536</v>
      </c>
      <c r="I518" s="2" t="s">
        <v>3117</v>
      </c>
      <c r="J518" s="2" t="s">
        <v>3191</v>
      </c>
      <c r="K518" s="2" t="s">
        <v>2211</v>
      </c>
      <c r="L518" s="2" t="s">
        <v>41</v>
      </c>
      <c r="M518" s="7" t="s">
        <v>824</v>
      </c>
      <c r="N518" s="2"/>
      <c r="O518" s="2"/>
      <c r="P518" s="2" t="s">
        <v>3170</v>
      </c>
      <c r="Q518" s="2" t="s">
        <v>3174</v>
      </c>
      <c r="R518" s="2" t="s">
        <v>3160</v>
      </c>
      <c r="S518" s="2" t="s">
        <v>2353</v>
      </c>
      <c r="T518" s="2" t="s">
        <v>2367</v>
      </c>
      <c r="U518" s="2" t="s">
        <v>101</v>
      </c>
      <c r="V518" s="2" t="s">
        <v>2448</v>
      </c>
      <c r="W518" s="2"/>
      <c r="Y518" t="str">
        <f>PROPER(Table1[[#This Row],[Industry]])</f>
        <v>Фармацевтика</v>
      </c>
      <c r="Z518" t="str">
        <f>PROPER(Table1[[#This Row],[Insole]])</f>
        <v>Кожа/Текстил, Интегрирана Стелка</v>
      </c>
    </row>
    <row r="519" spans="1:26" ht="12.75" customHeight="1" x14ac:dyDescent="0.2">
      <c r="A519" s="2" t="s">
        <v>833</v>
      </c>
      <c r="B519" s="2" t="s">
        <v>834</v>
      </c>
      <c r="C519" s="4" t="s">
        <v>2507</v>
      </c>
      <c r="D519" s="2" t="s">
        <v>3088</v>
      </c>
      <c r="E519" s="2" t="s">
        <v>2738</v>
      </c>
      <c r="F519" s="2"/>
      <c r="G519" s="2" t="s">
        <v>3187</v>
      </c>
      <c r="H519" s="2" t="s">
        <v>536</v>
      </c>
      <c r="I519" s="2" t="s">
        <v>3107</v>
      </c>
      <c r="J519" s="2" t="s">
        <v>3191</v>
      </c>
      <c r="K519" s="2" t="s">
        <v>1787</v>
      </c>
      <c r="L519" s="2" t="s">
        <v>41</v>
      </c>
      <c r="M519" s="7" t="s">
        <v>824</v>
      </c>
      <c r="N519" s="2"/>
      <c r="O519" s="2"/>
      <c r="P519" s="2" t="s">
        <v>3170</v>
      </c>
      <c r="Q519" s="2" t="s">
        <v>3162</v>
      </c>
      <c r="R519" s="2" t="s">
        <v>3160</v>
      </c>
      <c r="S519" s="2" t="s">
        <v>2353</v>
      </c>
      <c r="T519" s="2" t="s">
        <v>2367</v>
      </c>
      <c r="U519" s="2" t="s">
        <v>101</v>
      </c>
      <c r="V519" s="2" t="s">
        <v>2444</v>
      </c>
      <c r="W519" s="2"/>
      <c r="Y519" t="str">
        <f>PROPER(Table1[[#This Row],[Industry]])</f>
        <v>Болничен Персонал, Фармацевтика</v>
      </c>
      <c r="Z519" t="str">
        <f>PROPER(Table1[[#This Row],[Insole]])</f>
        <v>Кожа/Текстил, Интегрирана Стелка</v>
      </c>
    </row>
    <row r="520" spans="1:26" ht="12.75" customHeight="1" x14ac:dyDescent="0.2">
      <c r="A520" s="2" t="s">
        <v>1107</v>
      </c>
      <c r="B520" s="2" t="s">
        <v>1108</v>
      </c>
      <c r="C520" s="4" t="s">
        <v>2495</v>
      </c>
      <c r="D520" s="2" t="s">
        <v>3080</v>
      </c>
      <c r="E520" s="2" t="s">
        <v>2827</v>
      </c>
      <c r="F520" s="2"/>
      <c r="G520" s="2" t="s">
        <v>3187</v>
      </c>
      <c r="H520" s="2" t="s">
        <v>536</v>
      </c>
      <c r="I520" s="2" t="s">
        <v>3130</v>
      </c>
      <c r="J520" s="2" t="s">
        <v>3191</v>
      </c>
      <c r="K520" s="2" t="s">
        <v>1787</v>
      </c>
      <c r="L520" s="2" t="s">
        <v>41</v>
      </c>
      <c r="M520" s="7" t="s">
        <v>824</v>
      </c>
      <c r="N520" s="2"/>
      <c r="O520" s="2"/>
      <c r="P520" s="2" t="s">
        <v>3170</v>
      </c>
      <c r="Q520" s="2" t="s">
        <v>3162</v>
      </c>
      <c r="R520" s="2" t="s">
        <v>3157</v>
      </c>
      <c r="S520" s="2" t="s">
        <v>2340</v>
      </c>
      <c r="T520" s="2" t="s">
        <v>2367</v>
      </c>
      <c r="U520" s="2" t="s">
        <v>101</v>
      </c>
      <c r="V520" s="2" t="s">
        <v>2429</v>
      </c>
      <c r="W520" s="2"/>
      <c r="Y520" t="str">
        <f>PROPER(Table1[[#This Row],[Industry]])</f>
        <v>Гастрономия / Кухня, Хорека, Болничен Персонал</v>
      </c>
      <c r="Z520" t="str">
        <f>PROPER(Table1[[#This Row],[Insole]])</f>
        <v>Кожа, Интегрирана Стелка</v>
      </c>
    </row>
    <row r="521" spans="1:26" ht="12.75" customHeight="1" x14ac:dyDescent="0.2">
      <c r="A521" s="2" t="s">
        <v>1111</v>
      </c>
      <c r="B521" s="2" t="s">
        <v>1112</v>
      </c>
      <c r="C521" s="4" t="s">
        <v>2497</v>
      </c>
      <c r="D521" s="2" t="s">
        <v>3082</v>
      </c>
      <c r="E521" s="2" t="s">
        <v>2829</v>
      </c>
      <c r="F521" s="2"/>
      <c r="G521" s="2" t="s">
        <v>3187</v>
      </c>
      <c r="H521" s="2" t="s">
        <v>536</v>
      </c>
      <c r="I521" s="2" t="s">
        <v>3107</v>
      </c>
      <c r="J521" s="2" t="s">
        <v>3191</v>
      </c>
      <c r="K521" s="2" t="s">
        <v>1787</v>
      </c>
      <c r="L521" s="2" t="s">
        <v>41</v>
      </c>
      <c r="M521" s="7" t="s">
        <v>824</v>
      </c>
      <c r="N521" s="2"/>
      <c r="O521" s="2"/>
      <c r="P521" s="2" t="s">
        <v>3170</v>
      </c>
      <c r="Q521" s="2" t="s">
        <v>3162</v>
      </c>
      <c r="R521" s="2" t="s">
        <v>3157</v>
      </c>
      <c r="S521" s="2" t="s">
        <v>2340</v>
      </c>
      <c r="T521" s="2" t="s">
        <v>2367</v>
      </c>
      <c r="U521" s="2" t="s">
        <v>101</v>
      </c>
      <c r="V521" s="2" t="s">
        <v>2444</v>
      </c>
      <c r="W521" s="2"/>
      <c r="Y521" t="str">
        <f>PROPER(Table1[[#This Row],[Industry]])</f>
        <v>Болничен Персонал, Фармацевтика</v>
      </c>
      <c r="Z521" t="str">
        <f>PROPER(Table1[[#This Row],[Insole]])</f>
        <v>Кожа, Интегрирана Стелка</v>
      </c>
    </row>
    <row r="522" spans="1:26" ht="12.75" customHeight="1" x14ac:dyDescent="0.2">
      <c r="A522" s="2" t="s">
        <v>1096</v>
      </c>
      <c r="B522" s="2" t="s">
        <v>1097</v>
      </c>
      <c r="C522" s="4" t="s">
        <v>2490</v>
      </c>
      <c r="D522" s="2" t="s">
        <v>3075</v>
      </c>
      <c r="E522" s="2" t="s">
        <v>2822</v>
      </c>
      <c r="F522" s="2"/>
      <c r="G522" s="2" t="s">
        <v>3187</v>
      </c>
      <c r="H522" s="2" t="s">
        <v>536</v>
      </c>
      <c r="I522" s="2" t="s">
        <v>3106</v>
      </c>
      <c r="J522" s="2" t="s">
        <v>3192</v>
      </c>
      <c r="K522" s="2" t="s">
        <v>1984</v>
      </c>
      <c r="L522" s="2" t="s">
        <v>41</v>
      </c>
      <c r="M522" s="8" t="s">
        <v>1098</v>
      </c>
      <c r="N522" s="2"/>
      <c r="O522" s="2"/>
      <c r="P522" s="2" t="s">
        <v>3170</v>
      </c>
      <c r="Q522" s="2" t="s">
        <v>3162</v>
      </c>
      <c r="R522" s="2" t="s">
        <v>3157</v>
      </c>
      <c r="S522" s="2" t="s">
        <v>2340</v>
      </c>
      <c r="T522" s="2" t="s">
        <v>2367</v>
      </c>
      <c r="U522" s="2" t="s">
        <v>101</v>
      </c>
      <c r="V522" s="2" t="s">
        <v>2432</v>
      </c>
      <c r="W522" s="2"/>
      <c r="Y522" t="str">
        <f>PROPER(Table1[[#This Row],[Industry]])</f>
        <v>Гастрономия / Кухня, Хорека, Болничен Персонал, Фармацевтика</v>
      </c>
      <c r="Z522" t="str">
        <f>PROPER(Table1[[#This Row],[Insole]])</f>
        <v>Кожа, Интегрирана Стелка</v>
      </c>
    </row>
    <row r="523" spans="1:26" ht="12.75" customHeight="1" x14ac:dyDescent="0.2">
      <c r="A523" s="2" t="s">
        <v>822</v>
      </c>
      <c r="B523" s="2" t="s">
        <v>823</v>
      </c>
      <c r="C523" s="4" t="s">
        <v>2502</v>
      </c>
      <c r="D523" s="2" t="s">
        <v>3083</v>
      </c>
      <c r="E523" s="2" t="s">
        <v>2733</v>
      </c>
      <c r="F523" s="2"/>
      <c r="G523" s="2" t="s">
        <v>3187</v>
      </c>
      <c r="H523" s="2" t="s">
        <v>536</v>
      </c>
      <c r="I523" s="2" t="s">
        <v>3106</v>
      </c>
      <c r="J523" s="2" t="s">
        <v>3192</v>
      </c>
      <c r="K523" s="2" t="s">
        <v>1984</v>
      </c>
      <c r="L523" s="2" t="s">
        <v>41</v>
      </c>
      <c r="M523" s="7" t="s">
        <v>824</v>
      </c>
      <c r="N523" s="2"/>
      <c r="O523" s="2"/>
      <c r="P523" s="2" t="s">
        <v>3170</v>
      </c>
      <c r="Q523" s="2" t="s">
        <v>3162</v>
      </c>
      <c r="R523" s="2" t="s">
        <v>3160</v>
      </c>
      <c r="S523" s="2" t="s">
        <v>2353</v>
      </c>
      <c r="T523" s="2" t="s">
        <v>2367</v>
      </c>
      <c r="U523" s="2" t="s">
        <v>101</v>
      </c>
      <c r="V523" s="2" t="s">
        <v>2432</v>
      </c>
      <c r="W523" s="2"/>
      <c r="Y523" t="str">
        <f>PROPER(Table1[[#This Row],[Industry]])</f>
        <v>Гастрономия / Кухня, Хорека, Болничен Персонал, Фармацевтика</v>
      </c>
      <c r="Z523" t="str">
        <f>PROPER(Table1[[#This Row],[Insole]])</f>
        <v>Кожа/Текстил, Интегрирана Стелка</v>
      </c>
    </row>
    <row r="524" spans="1:26" ht="12.75" customHeight="1" x14ac:dyDescent="0.2">
      <c r="A524" s="2" t="s">
        <v>1101</v>
      </c>
      <c r="B524" s="2" t="s">
        <v>1102</v>
      </c>
      <c r="C524" s="4" t="s">
        <v>2492</v>
      </c>
      <c r="D524" s="2" t="s">
        <v>3077</v>
      </c>
      <c r="E524" s="2" t="s">
        <v>2824</v>
      </c>
      <c r="F524" s="2"/>
      <c r="G524" s="2" t="s">
        <v>3187</v>
      </c>
      <c r="H524" s="2" t="s">
        <v>536</v>
      </c>
      <c r="I524" s="2" t="s">
        <v>3110</v>
      </c>
      <c r="J524" s="2" t="s">
        <v>3192</v>
      </c>
      <c r="K524" s="2" t="s">
        <v>2211</v>
      </c>
      <c r="L524" s="2" t="s">
        <v>41</v>
      </c>
      <c r="M524" s="7" t="s">
        <v>1098</v>
      </c>
      <c r="N524" s="2"/>
      <c r="O524" s="2"/>
      <c r="P524" s="2" t="s">
        <v>3170</v>
      </c>
      <c r="Q524" s="2" t="s">
        <v>3162</v>
      </c>
      <c r="R524" s="2" t="s">
        <v>3157</v>
      </c>
      <c r="S524" s="2" t="s">
        <v>2340</v>
      </c>
      <c r="T524" s="2" t="s">
        <v>2367</v>
      </c>
      <c r="U524" s="2" t="s">
        <v>101</v>
      </c>
      <c r="V524" s="2" t="s">
        <v>2432</v>
      </c>
      <c r="W524" s="2"/>
      <c r="Y524" t="str">
        <f>PROPER(Table1[[#This Row],[Industry]])</f>
        <v>Гастрономия / Кухня</v>
      </c>
      <c r="Z524" t="str">
        <f>PROPER(Table1[[#This Row],[Insole]])</f>
        <v>Кожа, Интегрирана Стелка</v>
      </c>
    </row>
    <row r="525" spans="1:26" ht="12.75" customHeight="1" x14ac:dyDescent="0.2">
      <c r="A525" s="2" t="s">
        <v>825</v>
      </c>
      <c r="B525" s="2" t="s">
        <v>826</v>
      </c>
      <c r="C525" s="4" t="s">
        <v>2503</v>
      </c>
      <c r="D525" s="2" t="s">
        <v>3084</v>
      </c>
      <c r="E525" s="2" t="s">
        <v>2734</v>
      </c>
      <c r="F525" s="2"/>
      <c r="G525" s="2" t="s">
        <v>3187</v>
      </c>
      <c r="H525" s="2" t="s">
        <v>536</v>
      </c>
      <c r="I525" s="2" t="s">
        <v>3110</v>
      </c>
      <c r="J525" s="2" t="s">
        <v>3192</v>
      </c>
      <c r="K525" s="2" t="s">
        <v>2211</v>
      </c>
      <c r="L525" s="2" t="s">
        <v>41</v>
      </c>
      <c r="M525" s="7" t="s">
        <v>824</v>
      </c>
      <c r="N525" s="2"/>
      <c r="O525" s="2"/>
      <c r="P525" s="2" t="s">
        <v>3170</v>
      </c>
      <c r="Q525" s="2" t="s">
        <v>3174</v>
      </c>
      <c r="R525" s="2" t="s">
        <v>3160</v>
      </c>
      <c r="S525" s="2" t="s">
        <v>2353</v>
      </c>
      <c r="T525" s="2" t="s">
        <v>2367</v>
      </c>
      <c r="U525" s="2" t="s">
        <v>101</v>
      </c>
      <c r="V525" s="2" t="s">
        <v>2403</v>
      </c>
      <c r="W525" s="2"/>
      <c r="Y525" t="str">
        <f>PROPER(Table1[[#This Row],[Industry]])</f>
        <v>Гастрономия / Кухня</v>
      </c>
      <c r="Z525" t="str">
        <f>PROPER(Table1[[#This Row],[Insole]])</f>
        <v>Кожа/Текстил, Интегрирана Стелка</v>
      </c>
    </row>
    <row r="526" spans="1:26" ht="12.75" customHeight="1" x14ac:dyDescent="0.2">
      <c r="A526" s="2" t="s">
        <v>1099</v>
      </c>
      <c r="B526" s="2" t="s">
        <v>1100</v>
      </c>
      <c r="C526" s="4" t="s">
        <v>2491</v>
      </c>
      <c r="D526" s="2" t="s">
        <v>3076</v>
      </c>
      <c r="E526" s="2" t="s">
        <v>2823</v>
      </c>
      <c r="F526" s="2"/>
      <c r="G526" s="2" t="s">
        <v>3187</v>
      </c>
      <c r="H526" s="2" t="s">
        <v>536</v>
      </c>
      <c r="I526" s="2" t="s">
        <v>3110</v>
      </c>
      <c r="J526" s="2" t="s">
        <v>3192</v>
      </c>
      <c r="K526" s="2" t="s">
        <v>1787</v>
      </c>
      <c r="L526" s="2" t="s">
        <v>41</v>
      </c>
      <c r="M526" s="7" t="s">
        <v>824</v>
      </c>
      <c r="N526" s="2"/>
      <c r="O526" s="2"/>
      <c r="P526" s="2" t="s">
        <v>3170</v>
      </c>
      <c r="Q526" s="2" t="s">
        <v>3162</v>
      </c>
      <c r="R526" s="2" t="s">
        <v>3157</v>
      </c>
      <c r="S526" s="2" t="s">
        <v>2340</v>
      </c>
      <c r="T526" s="2" t="s">
        <v>2367</v>
      </c>
      <c r="U526" s="2" t="s">
        <v>101</v>
      </c>
      <c r="V526" s="2" t="s">
        <v>2432</v>
      </c>
      <c r="W526" s="2"/>
      <c r="Y526" t="str">
        <f>PROPER(Table1[[#This Row],[Industry]])</f>
        <v>Гастрономия / Кухня</v>
      </c>
      <c r="Z526" t="str">
        <f>PROPER(Table1[[#This Row],[Insole]])</f>
        <v>Кожа, Интегрирана Стелка</v>
      </c>
    </row>
    <row r="527" spans="1:26" ht="12.75" customHeight="1" x14ac:dyDescent="0.2">
      <c r="A527" s="2" t="s">
        <v>1681</v>
      </c>
      <c r="B527" s="2" t="s">
        <v>1682</v>
      </c>
      <c r="C527" s="4" t="s">
        <v>2487</v>
      </c>
      <c r="D527" s="2" t="s">
        <v>2318</v>
      </c>
      <c r="E527" s="2" t="s">
        <v>3009</v>
      </c>
      <c r="F527" s="2"/>
      <c r="G527" s="2" t="s">
        <v>3187</v>
      </c>
      <c r="H527" s="2" t="s">
        <v>536</v>
      </c>
      <c r="I527" s="2" t="s">
        <v>3110</v>
      </c>
      <c r="J527" s="2" t="s">
        <v>3192</v>
      </c>
      <c r="K527" s="2" t="s">
        <v>1984</v>
      </c>
      <c r="L527" s="2" t="s">
        <v>41</v>
      </c>
      <c r="M527" s="7" t="s">
        <v>1683</v>
      </c>
      <c r="N527" s="2"/>
      <c r="O527" s="2"/>
      <c r="P527" s="2" t="s">
        <v>3173</v>
      </c>
      <c r="Q527" s="2" t="s">
        <v>3173</v>
      </c>
      <c r="R527" s="2" t="s">
        <v>3159</v>
      </c>
      <c r="S527" s="2" t="s">
        <v>2340</v>
      </c>
      <c r="T527" s="2" t="s">
        <v>2367</v>
      </c>
      <c r="U527" s="2" t="s">
        <v>101</v>
      </c>
      <c r="V527" s="2" t="s">
        <v>2412</v>
      </c>
      <c r="W527" s="2"/>
      <c r="Y527" t="str">
        <f>PROPER(Table1[[#This Row],[Industry]])</f>
        <v>Гастрономия / Кухня</v>
      </c>
      <c r="Z527" t="str">
        <f>PROPER(Table1[[#This Row],[Insole]])</f>
        <v>Текстил, Интегрирана Стелка</v>
      </c>
    </row>
    <row r="528" spans="1:26" ht="12.75" customHeight="1" x14ac:dyDescent="0.2">
      <c r="A528" s="2" t="s">
        <v>1686</v>
      </c>
      <c r="B528" s="2" t="s">
        <v>1687</v>
      </c>
      <c r="C528" s="4" t="s">
        <v>2489</v>
      </c>
      <c r="D528" s="2" t="s">
        <v>2320</v>
      </c>
      <c r="E528" s="2" t="s">
        <v>3011</v>
      </c>
      <c r="F528" s="2"/>
      <c r="G528" s="2" t="s">
        <v>3187</v>
      </c>
      <c r="H528" s="2" t="s">
        <v>536</v>
      </c>
      <c r="I528" s="2" t="s">
        <v>3106</v>
      </c>
      <c r="J528" s="2" t="s">
        <v>3192</v>
      </c>
      <c r="K528" s="2" t="s">
        <v>1984</v>
      </c>
      <c r="L528" s="2" t="s">
        <v>41</v>
      </c>
      <c r="M528" s="7" t="s">
        <v>1683</v>
      </c>
      <c r="N528" s="2"/>
      <c r="O528" s="2"/>
      <c r="P528" s="2" t="s">
        <v>3173</v>
      </c>
      <c r="Q528" s="2" t="s">
        <v>3162</v>
      </c>
      <c r="R528" s="2" t="s">
        <v>3159</v>
      </c>
      <c r="S528" s="2" t="s">
        <v>2353</v>
      </c>
      <c r="T528" s="2" t="s">
        <v>2367</v>
      </c>
      <c r="U528" s="2" t="s">
        <v>101</v>
      </c>
      <c r="V528" s="2" t="s">
        <v>2444</v>
      </c>
      <c r="W528" s="2"/>
      <c r="Y528" t="str">
        <f>PROPER(Table1[[#This Row],[Industry]])</f>
        <v>Гастрономия / Кухня, Хорека, Болничен Персонал, Фармацевтика</v>
      </c>
      <c r="Z528" t="str">
        <f>PROPER(Table1[[#This Row],[Insole]])</f>
        <v>Текстил, Интегрирана Стелка</v>
      </c>
    </row>
    <row r="529" spans="1:26" ht="12.75" customHeight="1" x14ac:dyDescent="0.2">
      <c r="A529" s="2" t="s">
        <v>1684</v>
      </c>
      <c r="B529" s="2" t="s">
        <v>1685</v>
      </c>
      <c r="C529" s="4" t="s">
        <v>2488</v>
      </c>
      <c r="D529" s="2" t="s">
        <v>2319</v>
      </c>
      <c r="E529" s="2" t="s">
        <v>3010</v>
      </c>
      <c r="F529" s="2"/>
      <c r="G529" s="2" t="s">
        <v>3187</v>
      </c>
      <c r="H529" s="2" t="s">
        <v>536</v>
      </c>
      <c r="I529" s="2" t="s">
        <v>3110</v>
      </c>
      <c r="J529" s="2" t="s">
        <v>3192</v>
      </c>
      <c r="K529" s="2" t="s">
        <v>1787</v>
      </c>
      <c r="L529" s="2" t="s">
        <v>41</v>
      </c>
      <c r="M529" s="7" t="s">
        <v>1683</v>
      </c>
      <c r="N529" s="2"/>
      <c r="O529" s="2"/>
      <c r="P529" s="2" t="s">
        <v>3173</v>
      </c>
      <c r="Q529" s="2" t="s">
        <v>3173</v>
      </c>
      <c r="R529" s="2" t="s">
        <v>3159</v>
      </c>
      <c r="S529" s="2" t="s">
        <v>2340</v>
      </c>
      <c r="T529" s="2" t="s">
        <v>2367</v>
      </c>
      <c r="U529" s="2" t="s">
        <v>101</v>
      </c>
      <c r="V529" s="2" t="s">
        <v>2412</v>
      </c>
      <c r="W529" s="2"/>
      <c r="Y529" t="str">
        <f>PROPER(Table1[[#This Row],[Industry]])</f>
        <v>Гастрономия / Кухня</v>
      </c>
      <c r="Z529" t="str">
        <f>PROPER(Table1[[#This Row],[Insole]])</f>
        <v>Текстил, Интегрирана Стелка</v>
      </c>
    </row>
    <row r="530" spans="1:26" ht="12.75" customHeight="1" x14ac:dyDescent="0.2">
      <c r="A530" s="2" t="s">
        <v>392</v>
      </c>
      <c r="B530" s="2" t="s">
        <v>393</v>
      </c>
      <c r="C530" s="4" t="s">
        <v>2509</v>
      </c>
      <c r="D530" s="2" t="s">
        <v>2510</v>
      </c>
      <c r="E530" s="2" t="s">
        <v>2612</v>
      </c>
      <c r="F530" s="2"/>
      <c r="G530" s="2" t="s">
        <v>3188</v>
      </c>
      <c r="H530" s="2" t="s">
        <v>35</v>
      </c>
      <c r="I530" s="2" t="s">
        <v>3141</v>
      </c>
      <c r="J530" s="2" t="s">
        <v>3190</v>
      </c>
      <c r="K530" s="2" t="s">
        <v>1787</v>
      </c>
      <c r="L530" s="2" t="s">
        <v>3194</v>
      </c>
      <c r="M530" s="7" t="s">
        <v>3193</v>
      </c>
      <c r="N530" s="2" t="s">
        <v>3200</v>
      </c>
      <c r="O530" s="2"/>
      <c r="P530" s="2" t="s">
        <v>3170</v>
      </c>
      <c r="Q530" s="2" t="s">
        <v>3170</v>
      </c>
      <c r="R530" s="2" t="s">
        <v>3167</v>
      </c>
      <c r="S530" s="2" t="s">
        <v>2341</v>
      </c>
      <c r="T530" s="2" t="s">
        <v>2355</v>
      </c>
      <c r="U530" s="2" t="s">
        <v>49</v>
      </c>
      <c r="V530" s="2"/>
      <c r="W530" s="2"/>
      <c r="Y530" t="str">
        <f>PROPER(Table1[[#This Row],[Industry]])</f>
        <v>Пожарникари И Спасители, Хорека, Други, Охрана И Сигурност / Охрана</v>
      </c>
      <c r="Z530" t="str">
        <f>PROPER(Table1[[#This Row],[Insole]])</f>
        <v>Кожа</v>
      </c>
    </row>
  </sheetData>
  <hyperlinks>
    <hyperlink ref="E355" r:id="rId1" xr:uid="{00000000-0004-0000-0000-000000000000}"/>
    <hyperlink ref="E49" r:id="rId2" xr:uid="{05022AA0-BE22-4A0D-AB3E-E098DF6012CC}"/>
  </hyperlinks>
  <pageMargins left="0.75" right="0.75" top="1" bottom="1" header="0" footer="0"/>
  <pageSetup fitToWidth="0" fitToHeight="0" pageOrder="overThenDown" orientation="portrait" useFirstPageNumber="1" r:id="rId3"/>
  <headerFooter alignWithMargins="0">
    <oddFooter>P_x0000_a_x0000_g_x0000_e_x0000_ _x0000_&amp;_x0000_P</oddFooter>
  </headerFooter>
  <drawing r:id="rId4"/>
  <legacyDrawing r:id="rId5"/>
  <mc:AlternateContent xmlns:mc="http://schemas.openxmlformats.org/markup-compatibility/2006">
    <mc:Choice Requires="x14">
      <controls>
        <mc:AlternateContent xmlns:mc="http://schemas.openxmlformats.org/markup-compatibility/2006">
          <mc:Choice Requires="x14">
            <control shapeId="1048" r:id="rId6" name="Button 24">
              <controlPr defaultSize="0" print="0" autoFill="0" autoPict="0" macro="[0]!TableToJsonClipboard">
                <anchor moveWithCells="1" sizeWithCells="1">
                  <from>
                    <xdr:col>1</xdr:col>
                    <xdr:colOff>342900</xdr:colOff>
                    <xdr:row>0</xdr:row>
                    <xdr:rowOff>66675</xdr:rowOff>
                  </from>
                  <to>
                    <xdr:col>2</xdr:col>
                    <xdr:colOff>1533525</xdr:colOff>
                    <xdr:row>0</xdr:row>
                    <xdr:rowOff>485775</xdr:rowOff>
                  </to>
                </anchor>
              </controlPr>
            </control>
          </mc:Choice>
        </mc:AlternateContent>
      </controls>
    </mc:Choice>
  </mc:AlternateContent>
  <tableParts count="1">
    <tablePart r:id="rId7"/>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Arkusz 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 Georgiev</dc:creator>
  <cp:lastModifiedBy>Alex Georgiev</cp:lastModifiedBy>
  <dcterms:created xsi:type="dcterms:W3CDTF">2022-11-14T09:17:40Z</dcterms:created>
  <dcterms:modified xsi:type="dcterms:W3CDTF">2022-11-25T13:59:17Z</dcterms:modified>
</cp:coreProperties>
</file>